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4e6e2e8cd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56e26ea277401a"/>
    <x:sheet xmlns:r="http://schemas.openxmlformats.org/officeDocument/2006/relationships" name="REFERENCE_PARAMS" sheetId="2" r:id="R4c3a4880d6874305"/>
    <x:sheet xmlns:r="http://schemas.openxmlformats.org/officeDocument/2006/relationships" name="OD_PARAMETER" sheetId="3" r:id="Rf3faaa1747484147"/>
    <x:sheet xmlns:r="http://schemas.openxmlformats.org/officeDocument/2006/relationships" name="NETWORK_BASIS" sheetId="4" r:id="Rcb6962618d6e442c"/>
    <x:sheet xmlns:r="http://schemas.openxmlformats.org/officeDocument/2006/relationships" name="LITERATURE" sheetId="5" r:id="Re986f780dd354aaf"/>
    <x:sheet xmlns:r="http://schemas.openxmlformats.org/officeDocument/2006/relationships" name="MODEL_NOTES" sheetId="6" r:id="R4e48b3fd59d6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"/>
    <x:numFmt numFmtId="202" formatCode="0"/>
    <x:numFmt numFmtId="203" formatCode="#,##0"/>
    <x:numFmt numFmtId="204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d7c42c43a4c44" /><Relationship Type="http://schemas.openxmlformats.org/officeDocument/2006/relationships/theme" Target="/xl/theme/theme1.xml" Id="Ra902dc37b8a346db" /><Relationship Type="http://schemas.openxmlformats.org/officeDocument/2006/relationships/sharedStrings" Target="/xl/sharedStrings.xml" Id="Re6e42b4eb72d4086" /><Relationship Type="http://schemas.openxmlformats.org/officeDocument/2006/relationships/worksheet" Target="/xl/worksheets/sheet1.xml" Id="Raf56e26ea277401a" /><Relationship Type="http://schemas.openxmlformats.org/officeDocument/2006/relationships/worksheet" Target="/xl/worksheets/sheet2.xml" Id="R4c3a4880d6874305" /><Relationship Type="http://schemas.openxmlformats.org/officeDocument/2006/relationships/worksheet" Target="/xl/worksheets/sheet3.xml" Id="Rf3faaa1747484147" /><Relationship Type="http://schemas.openxmlformats.org/officeDocument/2006/relationships/worksheet" Target="/xl/worksheets/sheet4.xml" Id="Rcb6962618d6e442c" /><Relationship Type="http://schemas.openxmlformats.org/officeDocument/2006/relationships/worksheet" Target="/xl/worksheets/sheet5.xml" Id="Re986f780dd354aaf" /><Relationship Type="http://schemas.openxmlformats.org/officeDocument/2006/relationships/worksheet" Target="/xl/worksheets/sheet6.xml" Id="R4e48b3fd59d648a8" /></Relationships>
</file>

<file path=xl/tables/table1.xml><?xml version="1.0" encoding="utf-8"?>
<x:table xmlns:x="http://schemas.openxmlformats.org/spreadsheetml/2006/main" id="1" name="ODParameterTable" displayName="ODParameterTable" ref="A1:W23" headerRowCount="1" totalsRowCount="0" totalsRowShown="0">
  <x:tableColumns count="23">
    <x:tableColumn id="1" name="corridor"/>
    <x:tableColumn id="2" name="origin"/>
    <x:tableColumn id="3" name="destination"/>
    <x:tableColumn id="4" name="candidate_status"/>
    <x:tableColumn id="5" name="physical_feasible"/>
    <x:tableColumn id="6" name="rail_distance_km"/>
    <x:tableColumn id="7" name="distance_basis"/>
    <x:tableColumn id="8" name="rail_path"/>
    <x:tableColumn id="9" name="existing_service_evidence"/>
    <x:tableColumn id="10" name="running_time_proxy_h"/>
    <x:tableColumn id="11" name="lead_run_only_h"/>
    <x:tableColumn id="12" name="lead_plus3h_h"/>
    <x:tableColumn id="13" name="lead_plus6h_h"/>
    <x:tableColumn id="14" name="empty_tariff_20ft_krw"/>
    <x:tableColumn id="15" name="empty_tariff_40ft_krw"/>
    <x:tableColumn id="16" name="base_max_wagons"/>
    <x:tableColumn id="17" name="base_capacity_teu"/>
    <x:tableColumn id="18" name="literature_load_factor"/>
    <x:tableColumn id="19" name="model_status"/>
    <x:tableColumn id="20" name="distance_source"/>
    <x:tableColumn id="21" name="timetable_source"/>
    <x:tableColumn id="22" name="tariff_source"/>
    <x:tableColumn id="2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dc2cb8a216e41ce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90" hidden="0" customWidth="1"/>
  </x:cols>
  <x:sheetData>
    <x:row r="1" ht="28" customHeight="1">
      <x:c r="A1" s="16" t="str">
        <x:v>AXIS 공컨 철도 재배치 OD 파라미터 초안</x:v>
      </x:c>
      <x:c r="B1" s="16"/>
      <x:c r="C1" s="16"/>
      <x:c r="D1" s="16"/>
      <x:c r="E1" s="16"/>
      <x:c r="F1" s="16"/>
      <x:c r="G1" s="16"/>
      <x:c r="H1" s="16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8" t="str">
        <x:v>항목</x:v>
      </x:c>
      <x:c r="B3" s="18" t="str">
        <x:v>내용</x:v>
      </x:c>
      <x:c r="C3" s="17"/>
      <x:c r="D3" s="17"/>
      <x:c r="E3" s="17"/>
      <x:c r="F3" s="17"/>
      <x:c r="G3" s="17"/>
      <x:c r="H3" s="17"/>
    </x:row>
    <x:row r="4">
      <x:c r="A4" s="19" t="str">
        <x:v>네트워크</x:v>
      </x:c>
      <x:c r="B4" s="19" t="str">
        <x:v>경부축: 오봉-부강화물-약목-부산신항 / 서남권축: 오봉-부강화물-동산-신광양항</x:v>
      </x:c>
      <x:c r="C4" s="17"/>
      <x:c r="D4" s="17"/>
      <x:c r="E4" s="17"/>
      <x:c r="F4" s="17"/>
      <x:c r="G4" s="17"/>
      <x:c r="H4" s="17"/>
    </x:row>
    <x:row r="5">
      <x:c r="A5" s="19" t="str">
        <x:v>OD 수</x:v>
      </x:c>
      <x:c r="B5" s="19" t="str">
        <x:v>11개 무방향 / 22개 방향 OD</x:v>
      </x:c>
      <x:c r="C5" s="17"/>
      <x:c r="D5" s="17"/>
      <x:c r="E5" s="17"/>
      <x:c r="F5" s="17"/>
      <x:c r="G5" s="17"/>
      <x:c r="H5" s="17"/>
    </x:row>
    <x:row r="6">
      <x:c r="A6" s="19" t="str">
        <x:v>핵심 원칙</x:v>
      </x:c>
      <x:c r="B6" s="19" t="str">
        <x:v>축 내부 거점 간 직접 재배치 OD를 허용하되, 중간 거점 환적은 강제하지 않음</x:v>
      </x:c>
      <x:c r="C6" s="17"/>
      <x:c r="D6" s="17"/>
      <x:c r="E6" s="17"/>
      <x:c r="F6" s="17"/>
      <x:c r="G6" s="17"/>
      <x:c r="H6" s="17"/>
    </x:row>
    <x:row r="7">
      <x:c r="A7" s="19" t="str">
        <x:v>거리</x:v>
      </x:c>
      <x:c r="B7" s="19" t="str">
        <x:v>오봉-부산신항 402.3km는 코레일 직접 공표. 나머지는 철도운행거리·노선 km를 이용한 1차 재구성값</x:v>
      </x:c>
      <x:c r="C7" s="17"/>
      <x:c r="D7" s="17"/>
      <x:c r="E7" s="17"/>
      <x:c r="F7" s="17"/>
      <x:c r="G7" s="17"/>
      <x:c r="H7" s="17"/>
    </x:row>
    <x:row r="8">
      <x:c r="A8" s="19" t="str">
        <x:v>시간</x:v>
      </x:c>
      <x:c r="B8" s="19" t="str">
        <x:v>오봉→부산신항 402.3km / 5시간53분을 기준으로 평균 주행속도를 보정한 proxy</x:v>
      </x:c>
      <x:c r="C8" s="17"/>
      <x:c r="D8" s="17"/>
      <x:c r="E8" s="17"/>
      <x:c r="F8" s="17"/>
      <x:c r="G8" s="17"/>
      <x:c r="H8" s="17"/>
    </x:row>
    <x:row r="9">
      <x:c r="A9" s="19" t="str">
        <x:v>운임</x:v>
      </x:c>
      <x:c r="B9" s="19" t="str">
        <x:v>코레일 공컨 운임률: 영컨테이너 운임률의 74%; 100km 최저운임 적용</x:v>
      </x:c>
      <x:c r="C9" s="17"/>
      <x:c r="D9" s="17"/>
      <x:c r="E9" s="17"/>
      <x:c r="F9" s="17"/>
      <x:c r="G9" s="17"/>
      <x:c r="H9" s="17"/>
    </x:row>
    <x:row r="10">
      <x:c r="A10" s="19" t="str">
        <x:v>용량</x:v>
      </x:c>
      <x:c r="B10" s="19" t="str">
        <x:v>코레일 자료상 33량=66TEU, 50량=100TEU → 2TEU/화차 기준. 기본 최대편성은 40량(2024 증결운행 사례)</x:v>
      </x:c>
      <x:c r="C10" s="17"/>
      <x:c r="D10" s="17"/>
      <x:c r="E10" s="17"/>
      <x:c r="F10" s="17"/>
      <x:c r="G10" s="17"/>
      <x:c r="H10" s="17"/>
    </x:row>
    <x:row r="11">
      <x:c r="A11" s="17"/>
      <x:c r="B11" s="17"/>
      <x:c r="C11" s="17"/>
      <x:c r="D11" s="17"/>
      <x:c r="E11" s="17"/>
      <x:c r="F11" s="17"/>
      <x:c r="G11" s="17"/>
      <x:c r="H11" s="17"/>
    </x:row>
    <x:row r="12">
      <x:c r="A12" s="18" t="str">
        <x:v>주의사항</x:v>
      </x:c>
      <x:c r="B12" s="18" t="str">
        <x:v>설명</x:v>
      </x:c>
      <x:c r="C12" s="17"/>
      <x:c r="D12" s="17"/>
      <x:c r="E12" s="17"/>
      <x:c r="F12" s="17"/>
      <x:c r="G12" s="17"/>
      <x:c r="H12" s="17"/>
    </x:row>
    <x:row r="13">
      <x:c r="A13" s="19" t="str">
        <x:v>거리 검증</x:v>
      </x:c>
      <x:c r="B13" s="19" t="str">
        <x:v>논문/최종보고서 제출 전 공공데이터포털 원문 XLSX로 11개 OD 거리를 다시 대조 권장</x:v>
      </x:c>
      <x:c r="C13" s="17"/>
      <x:c r="D13" s="17"/>
      <x:c r="E13" s="17"/>
      <x:c r="F13" s="17"/>
      <x:c r="G13" s="17"/>
      <x:c r="H13" s="17"/>
    </x:row>
    <x:row r="14">
      <x:c r="A14" s="19" t="str">
        <x:v>기존 운행 여부</x:v>
      </x:c>
      <x:c r="B14" s="19" t="str">
        <x:v>현재 OD 전체를 '신규 편성 가능 후보'로 열어둠. 실제 기존 직통열차는 2025-04-14 화물열차 시간표를 내려받아 방향별 확인해야 함</x:v>
      </x:c>
      <x:c r="C14" s="17"/>
      <x:c r="D14" s="17"/>
      <x:c r="E14" s="17"/>
      <x:c r="F14" s="17"/>
      <x:c r="G14" s="17"/>
      <x:c r="H14" s="17"/>
    </x:row>
    <x:row r="15">
      <x:c r="A15" s="19" t="str">
        <x:v>64량 해석</x:v>
      </x:c>
      <x:c r="B15" s="19" t="str">
        <x:v>64량은 2022 오봉-부산신항 시험 맥락의 손익분기 참고값이지 기술적 최소편성량이 아님</x:v>
      </x:c>
      <x:c r="C15" s="17"/>
      <x:c r="D15" s="17"/>
      <x:c r="E15" s="17"/>
      <x:c r="F15" s="17"/>
      <x:c r="G15" s="17"/>
      <x:c r="H15" s="17"/>
    </x:row>
    <x:row r="16">
      <x:c r="A16" s="19" t="str">
        <x:v>운임 vs 비용</x:v>
      </x:c>
      <x:c r="B16" s="19" t="str">
        <x:v>코레일 공컨 운임은 화주가 지불하는 가격. 코레일 내부 운행원가와 동일하지 않으므로 목적함수에서 '운송비 proxy'로만 사용</x:v>
      </x:c>
      <x:c r="C16" s="17"/>
      <x:c r="D16" s="17"/>
      <x:c r="E16" s="17"/>
      <x:c r="F16" s="17"/>
      <x:c r="G16" s="17"/>
      <x:c r="H16" s="17"/>
    </x:row>
    <x:row r="17">
      <x:c r="A17" s="19" t="str">
        <x:v>리드타임</x:v>
      </x:c>
      <x:c r="B17" s="19" t="str">
        <x:v>주행시간 proxy와 3h/6h 터미널 처리 버퍼 시나리오를 분리함</x:v>
      </x:c>
      <x:c r="C17" s="17"/>
      <x:c r="D17" s="17"/>
      <x:c r="E17" s="17"/>
      <x:c r="F17" s="17"/>
      <x:c r="G17" s="17"/>
      <x:c r="H17" s="17"/>
    </x:row>
    <x:row r="18">
      <x:c r="A18" s="19" t="str">
        <x:v>다음 단계</x:v>
      </x:c>
      <x:c r="B18" s="19" t="str">
        <x:v>OD별 기존 열차번호·운행요일·실제 시각 확인 → 운행원가/고정비 설정 → MILP 연결</x:v>
      </x:c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20" t="str">
        <x:v>공식/학술 근거</x:v>
      </x:c>
      <x:c r="B20" s="20" t="str">
        <x:v>URL</x:v>
      </x:c>
      <x:c r="C20" s="17"/>
      <x:c r="D20" s="17"/>
      <x:c r="E20" s="17"/>
      <x:c r="F20" s="17"/>
      <x:c r="G20" s="17"/>
      <x:c r="H20" s="17"/>
    </x:row>
    <x:row r="21">
      <x:c r="A21" s="17" t="str">
        <x:v>코레일 화물운임</x:v>
      </x:c>
      <x:c r="B21" s="17" t="str">
        <x:v>https://info.korail.com/info/contents.do?key=873</x:v>
      </x:c>
      <x:c r="C21" s="17"/>
      <x:c r="D21" s="17"/>
      <x:c r="E21" s="17"/>
      <x:c r="F21" s="17"/>
      <x:c r="G21" s="17"/>
      <x:c r="H21" s="17"/>
    </x:row>
    <x:row r="22">
      <x:c r="A22" s="17" t="str">
        <x:v>코레일 50량 장대열차 실증</x:v>
      </x:c>
      <x:c r="B22" s="17" t="str">
        <x:v>https://info.korail.com/info/selectBbsNttView.do?bbsNo=199&amp;key=911&amp;nttNo=16264</x:v>
      </x:c>
      <x:c r="C22" s="17"/>
      <x:c r="D22" s="17"/>
      <x:c r="E22" s="17"/>
      <x:c r="F22" s="17"/>
      <x:c r="G22" s="17"/>
      <x:c r="H22" s="17"/>
    </x:row>
    <x:row r="23">
      <x:c r="A23" s="17" t="str">
        <x:v>코레일 물류사업/40량 증결</x:v>
      </x:c>
      <x:c r="B23" s="17" t="str">
        <x:v>https://info.korail.com/info/contents.do?key=870</x:v>
      </x:c>
      <x:c r="C23" s="17"/>
      <x:c r="D23" s="17"/>
      <x:c r="E23" s="17"/>
      <x:c r="F23" s="17"/>
      <x:c r="G23" s="17"/>
      <x:c r="H23" s="17"/>
    </x:row>
    <x:row r="24">
      <x:c r="A24" s="17" t="str">
        <x:v>철도운행거리 데이터</x:v>
      </x:c>
      <x:c r="B24" s="17" t="str">
        <x:v>https://www.data.go.kr/data/15137040/fileData.do</x:v>
      </x:c>
      <x:c r="C24" s="17"/>
      <x:c r="D24" s="17"/>
      <x:c r="E24" s="17"/>
      <x:c r="F24" s="17"/>
      <x:c r="G24" s="17"/>
      <x:c r="H24" s="17"/>
    </x:row>
    <x:row r="25">
      <x:c r="A25" s="17" t="str">
        <x:v>2025 화물열차 시간표</x:v>
      </x:c>
      <x:c r="B25" s="17" t="str">
        <x:v>https://www.data.go.kr/data/15042241/fileData.do?recommendDataYn=Y</x:v>
      </x:c>
      <x:c r="C25" s="17"/>
      <x:c r="D25" s="17"/>
      <x:c r="E25" s="17"/>
      <x:c r="F25" s="17"/>
      <x:c r="G25" s="17"/>
      <x:c r="H25" s="1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5" hidden="0" customWidth="1"/>
    <x:col min="3" max="3" width="18" hidden="0" customWidth="1"/>
    <x:col min="4" max="4" width="18" hidden="0" customWidth="1"/>
    <x:col min="5" max="5" width="25" hidden="0" customWidth="1"/>
    <x:col min="6" max="6" width="55" hidden="0" customWidth="1"/>
    <x:col min="7" max="7" width="45" hidden="0" customWidth="1"/>
  </x:cols>
  <x:sheetData>
    <x:row r="1" ht="28" customHeight="1">
      <x:c r="A1" s="12" t="str">
        <x:v>Parameter</x:v>
      </x:c>
      <x:c r="B1" s="12" t="str">
        <x:v>Value</x:v>
      </x:c>
      <x:c r="C1" s="12" t="str">
        <x:v>Unit</x:v>
      </x:c>
      <x:c r="D1" s="12" t="str">
        <x:v>Type</x:v>
      </x:c>
      <x:c r="E1" s="12" t="str">
        <x:v>Use in model</x:v>
      </x:c>
      <x:c r="F1" s="12" t="str">
        <x:v>Source</x:v>
      </x:c>
      <x:c r="G1" s="12" t="str">
        <x:v>Note</x:v>
      </x:c>
    </x:row>
    <x:row r="2">
      <x:c r="A2" s="13" t="str">
        <x:v>laden_rate_20ft</x:v>
      </x:c>
      <x:c r="B2" s="28" t="n">
        <x:v>516</x:v>
      </x:c>
      <x:c r="C2" s="13" t="str">
        <x:v>KRW/km/container</x:v>
      </x:c>
      <x:c r="D2" s="13" t="str">
        <x:v>Official</x:v>
      </x:c>
      <x:c r="E2" s="13" t="str">
        <x:v>운임 계산</x:v>
      </x:c>
      <x:c r="F2" s="13" t="str">
        <x:v>https://info.korail.com/info/contents.do?key=873</x:v>
      </x:c>
      <x:c r="G2" s="13" t="str">
        <x:v>영컨테이너</x:v>
      </x:c>
    </x:row>
    <x:row r="3">
      <x:c r="A3" s="13" t="str">
        <x:v>laden_rate_40ft</x:v>
      </x:c>
      <x:c r="B3" s="28" t="n">
        <x:v>800</x:v>
      </x:c>
      <x:c r="C3" s="13" t="str">
        <x:v>KRW/km/container</x:v>
      </x:c>
      <x:c r="D3" s="13" t="str">
        <x:v>Official</x:v>
      </x:c>
      <x:c r="E3" s="13" t="str">
        <x:v>운임 계산</x:v>
      </x:c>
      <x:c r="F3" s="13" t="str">
        <x:v>https://info.korail.com/info/contents.do?key=873</x:v>
      </x:c>
      <x:c r="G3" s="13" t="str">
        <x:v>영컨테이너</x:v>
      </x:c>
    </x:row>
    <x:row r="4">
      <x:c r="A4" s="13" t="str">
        <x:v>empty_discount_ratio</x:v>
      </x:c>
      <x:c r="B4" s="28" t="n">
        <x:v>0.74</x:v>
      </x:c>
      <x:c r="C4" s="13" t="str">
        <x:v>ratio</x:v>
      </x:c>
      <x:c r="D4" s="13" t="str">
        <x:v>Official</x:v>
      </x:c>
      <x:c r="E4" s="13" t="str">
        <x:v>운임 계산</x:v>
      </x:c>
      <x:c r="F4" s="13" t="str">
        <x:v>https://info.korail.com/info/contents.do?key=873</x:v>
      </x:c>
      <x:c r="G4" s="13" t="str">
        <x:v>공컨 = 영컨 임률의 74%</x:v>
      </x:c>
    </x:row>
    <x:row r="5">
      <x:c r="A5" s="13" t="str">
        <x:v>min_charge_distance</x:v>
      </x:c>
      <x:c r="B5" s="28" t="n">
        <x:v>100</x:v>
      </x:c>
      <x:c r="C5" s="13" t="str">
        <x:v>km</x:v>
      </x:c>
      <x:c r="D5" s="13" t="str">
        <x:v>Official</x:v>
      </x:c>
      <x:c r="E5" s="13" t="str">
        <x:v>운임 계산</x:v>
      </x:c>
      <x:c r="F5" s="13" t="str">
        <x:v>https://info.korail.com/info/contents.do?key=873</x:v>
      </x:c>
      <x:c r="G5" s="13" t="str">
        <x:v>컨테이너 최저운임</x:v>
      </x:c>
    </x:row>
    <x:row r="6">
      <x:c r="A6" s="13" t="str">
        <x:v>container_loading_limit</x:v>
      </x:c>
      <x:c r="B6" s="28" t="n">
        <x:v>3</x:v>
      </x:c>
      <x:c r="C6" s="13" t="str">
        <x:v>h</x:v>
      </x:c>
      <x:c r="D6" s="13" t="str">
        <x:v>Official</x:v>
      </x:c>
      <x:c r="E6" s="13" t="str">
        <x:v>리드타임 시나리오</x:v>
      </x:c>
      <x:c r="F6" s="13" t="str">
        <x:v>https://info.korail.com/info/contents.do?key=873</x:v>
      </x:c>
      <x:c r="G6" s="13" t="str">
        <x:v>적재통지 후 컨테이너 적재 3시간</x:v>
      </x:c>
    </x:row>
    <x:row r="7">
      <x:c r="A7" s="13" t="str">
        <x:v>container_unloading_limit</x:v>
      </x:c>
      <x:c r="B7" s="28" t="n">
        <x:v>3</x:v>
      </x:c>
      <x:c r="C7" s="13" t="str">
        <x:v>h</x:v>
      </x:c>
      <x:c r="D7" s="13" t="str">
        <x:v>Official</x:v>
      </x:c>
      <x:c r="E7" s="13" t="str">
        <x:v>리드타임 시나리오</x:v>
      </x:c>
      <x:c r="F7" s="13" t="str">
        <x:v>https://info.korail.com/info/contents.do?key=873</x:v>
      </x:c>
      <x:c r="G7" s="13" t="str">
        <x:v>도착 후 컨테이너 하화 3시간</x:v>
      </x:c>
    </x:row>
    <x:row r="8">
      <x:c r="A8" s="13" t="str">
        <x:v>benchmark_distance</x:v>
      </x:c>
      <x:c r="B8" s="28" t="n">
        <x:v>402.3</x:v>
      </x:c>
      <x:c r="C8" s="13" t="str">
        <x:v>km</x:v>
      </x:c>
      <x:c r="D8" s="13" t="str">
        <x:v>Official</x:v>
      </x:c>
      <x:c r="E8" s="13" t="str">
        <x:v>주행속도 calibration</x:v>
      </x:c>
      <x:c r="F8" s="13" t="str">
        <x:v>https://info.korail.com/info/selectBbsNttView.do?bbsNo=199&amp;key=911&amp;nttNo=16264</x:v>
      </x:c>
      <x:c r="G8" s="13" t="str">
        <x:v>오봉-부산신항</x:v>
      </x:c>
    </x:row>
    <x:row r="9">
      <x:c r="A9" s="13" t="str">
        <x:v>benchmark_running_time</x:v>
      </x:c>
      <x:c r="B9" s="28" t="n">
        <x:v>5.883333333333333</x:v>
      </x:c>
      <x:c r="C9" s="13" t="str">
        <x:v>h</x:v>
      </x:c>
      <x:c r="D9" s="13" t="str">
        <x:v>Official-derived</x:v>
      </x:c>
      <x:c r="E9" s="13" t="str">
        <x:v>주행속도 calibration</x:v>
      </x:c>
      <x:c r="F9" s="13" t="str">
        <x:v>https://info.korail.com/info/selectBbsNttView.do?bbsNo=199&amp;key=911&amp;nttNo=16264</x:v>
      </x:c>
      <x:c r="G9" s="13" t="str">
        <x:v>05:04→10:57</x:v>
      </x:c>
    </x:row>
    <x:row r="10">
      <x:c r="A10" s="13" t="str">
        <x:v>benchmark_avg_speed</x:v>
      </x:c>
      <x:c r="B10" s="28" t="n">
        <x:f>B8/B9</x:f>
        <x:v>68.37960339943344</x:v>
      </x:c>
      <x:c r="C10" s="13" t="str">
        <x:v>km/h</x:v>
      </x:c>
      <x:c r="D10" s="13" t="str">
        <x:v>Formula</x:v>
      </x:c>
      <x:c r="E10" s="13" t="str">
        <x:v>OD 주행시간 proxy</x:v>
      </x:c>
      <x:c r="F10" s="13" t="str">
        <x:v>https://info.korail.com/info/selectBbsNttView.do?bbsNo=199&amp;key=911&amp;nttNo=16264</x:v>
      </x:c>
      <x:c r="G10" s="13" t="str">
        <x:v>402.3/(5h53m)</x:v>
      </x:c>
    </x:row>
    <x:row r="11">
      <x:c r="A11" s="13" t="str">
        <x:v>base_max_wagons</x:v>
      </x:c>
      <x:c r="B11" s="28" t="n">
        <x:v>40</x:v>
      </x:c>
      <x:c r="C11" s="13" t="str">
        <x:v>wagons/train</x:v>
      </x:c>
      <x:c r="D11" s="13" t="str">
        <x:v>Official-reference</x:v>
      </x:c>
      <x:c r="E11" s="13" t="str">
        <x:v>기본 용량 시나리오</x:v>
      </x:c>
      <x:c r="F11" s="13" t="str">
        <x:v>https://info.korail.com/info/contents.do?key=870</x:v>
      </x:c>
      <x:c r="G11" s="13" t="str">
        <x:v>2024-01 40량 컨테이너 화물열차 증결운행</x:v>
      </x:c>
    </x:row>
    <x:row r="12">
      <x:c r="A12" s="13" t="str">
        <x:v>teu_per_wagon</x:v>
      </x:c>
      <x:c r="B12" s="28" t="n">
        <x:v>2</x:v>
      </x:c>
      <x:c r="C12" s="13" t="str">
        <x:v>TEU/wagon</x:v>
      </x:c>
      <x:c r="D12" s="13" t="str">
        <x:v>Official-derived</x:v>
      </x:c>
      <x:c r="E12" s="13" t="str">
        <x:v>용량</x:v>
      </x:c>
      <x:c r="F12" s="13" t="str">
        <x:v>https://info.korail.com/info/selectBbsNttView.do?bbsNo=199&amp;key=911&amp;nttNo=16264</x:v>
      </x:c>
      <x:c r="G12" s="13" t="str">
        <x:v>33량=66TEU, 50량=100TEU</x:v>
      </x:c>
    </x:row>
    <x:row r="13">
      <x:c r="A13" s="13" t="str">
        <x:v>base_train_capacity_teu</x:v>
      </x:c>
      <x:c r="B13" s="28" t="n">
        <x:f>B11*B12</x:f>
        <x:v>80</x:v>
      </x:c>
      <x:c r="C13" s="13" t="str">
        <x:v>TEU/train</x:v>
      </x:c>
      <x:c r="D13" s="13" t="str">
        <x:v>Formula</x:v>
      </x:c>
      <x:c r="E13" s="13" t="str">
        <x:v>용량</x:v>
      </x:c>
      <x:c r="F13" s="13" t="str">
        <x:v>https://info.korail.com/info/contents.do?key=870</x:v>
      </x:c>
      <x:c r="G13" s="13" t="str">
        <x:v>base_max_wagons × TEU/wagon</x:v>
      </x:c>
    </x:row>
    <x:row r="14">
      <x:c r="A14" s="13" t="str">
        <x:v>avg_train_wagons_2022</x:v>
      </x:c>
      <x:c r="B14" s="28" t="n">
        <x:v>33</x:v>
      </x:c>
      <x:c r="C14" s="13" t="str">
        <x:v>wagons</x:v>
      </x:c>
      <x:c r="D14" s="13" t="str">
        <x:v>Official</x:v>
      </x:c>
      <x:c r="E14" s="13" t="str">
        <x:v>민감도</x:v>
      </x:c>
      <x:c r="F14" s="13" t="str">
        <x:v>https://info.korail.com/info/selectBbsNttView.do?bbsNo=199&amp;key=911&amp;nttNo=16264</x:v>
      </x:c>
      <x:c r="G14" s="13" t="str">
        <x:v>당시 평균 컨테이너 열차</x:v>
      </x:c>
    </x:row>
    <x:row r="15">
      <x:c r="A15" s="13" t="str">
        <x:v>long_train_test_wagons</x:v>
      </x:c>
      <x:c r="B15" s="28" t="n">
        <x:v>50</x:v>
      </x:c>
      <x:c r="C15" s="13" t="str">
        <x:v>wagons</x:v>
      </x:c>
      <x:c r="D15" s="13" t="str">
        <x:v>Official</x:v>
      </x:c>
      <x:c r="E15" s="13" t="str">
        <x:v>민감도</x:v>
      </x:c>
      <x:c r="F15" s="13" t="str">
        <x:v>https://info.korail.com/info/selectBbsNttView.do?bbsNo=199&amp;key=911&amp;nttNo=16264</x:v>
      </x:c>
      <x:c r="G15" s="13" t="str">
        <x:v>시험운행</x:v>
      </x:c>
    </x:row>
    <x:row r="16">
      <x:c r="A16" s="13" t="str">
        <x:v>breakeven_reference_wagons</x:v>
      </x:c>
      <x:c r="B16" s="28" t="n">
        <x:v>64</x:v>
      </x:c>
      <x:c r="C16" s="13" t="str">
        <x:v>wagons</x:v>
      </x:c>
      <x:c r="D16" s="13" t="str">
        <x:v>Official-context</x:v>
      </x:c>
      <x:c r="E16" s="13" t="str">
        <x:v>경제성 참고만</x:v>
      </x:c>
      <x:c r="F16" s="13" t="str">
        <x:v>https://info.korail.com/info/selectBbsNttView.do?bbsNo=199&amp;key=911&amp;nttNo=16264</x:v>
      </x:c>
      <x:c r="G16" s="13" t="str">
        <x:v>2022 경부축 손익분기 참고값; hard minimum 금지</x:v>
      </x:c>
    </x:row>
    <x:row r="17">
      <x:c r="A17" s="13" t="str">
        <x:v>operating_ratio_33</x:v>
      </x:c>
      <x:c r="B17" s="28" t="n">
        <x:v>144</x:v>
      </x:c>
      <x:c r="C17" s="13" t="str">
        <x:v>index</x:v>
      </x:c>
      <x:c r="D17" s="13" t="str">
        <x:v>Official</x:v>
      </x:c>
      <x:c r="E17" s="13" t="str">
        <x:v>경제성 보정</x:v>
      </x:c>
      <x:c r="F17" s="13" t="str">
        <x:v>https://info.korail.com/info/selectBbsNttView.do?bbsNo=199&amp;key=911&amp;nttNo=16264</x:v>
      </x:c>
      <x:c r="G17" s="13" t="str">
        <x:v>&gt;100 적자</x:v>
      </x:c>
    </x:row>
    <x:row r="18">
      <x:c r="A18" s="13" t="str">
        <x:v>operating_ratio_50</x:v>
      </x:c>
      <x:c r="B18" s="28" t="n">
        <x:v>116</x:v>
      </x:c>
      <x:c r="C18" s="13" t="str">
        <x:v>index</x:v>
      </x:c>
      <x:c r="D18" s="13" t="str">
        <x:v>Official</x:v>
      </x:c>
      <x:c r="E18" s="13" t="str">
        <x:v>경제성 보정</x:v>
      </x:c>
      <x:c r="F18" s="13" t="str">
        <x:v>https://info.korail.com/info/selectBbsNttView.do?bbsNo=199&amp;key=911&amp;nttNo=16264</x:v>
      </x:c>
      <x:c r="G18" s="13" t="str">
        <x:v>&gt;100 적자</x:v>
      </x:c>
    </x:row>
    <x:row r="19">
      <x:c r="A19" s="13" t="str">
        <x:v>operating_ratio_64</x:v>
      </x:c>
      <x:c r="B19" s="28" t="n">
        <x:v>100</x:v>
      </x:c>
      <x:c r="C19" s="13" t="str">
        <x:v>index</x:v>
      </x:c>
      <x:c r="D19" s="13" t="str">
        <x:v>Official</x:v>
      </x:c>
      <x:c r="E19" s="13" t="str">
        <x:v>경제성 보정</x:v>
      </x:c>
      <x:c r="F19" s="13" t="str">
        <x:v>https://info.korail.com/info/selectBbsNttView.do?bbsNo=199&amp;key=911&amp;nttNo=16264</x:v>
      </x:c>
      <x:c r="G19" s="13" t="str">
        <x:v>손익분기</x:v>
      </x:c>
    </x:row>
    <x:row r="20">
      <x:c r="A20" s="13" t="str">
        <x:v>literature_min_load_factor</x:v>
      </x:c>
      <x:c r="B20" s="28" t="n">
        <x:v>0.7</x:v>
      </x:c>
      <x:c r="C20" s="13" t="str">
        <x:v>ratio</x:v>
      </x:c>
      <x:c r="D20" s="13" t="str">
        <x:v>Literature</x:v>
      </x:c>
      <x:c r="E20" s="13" t="str">
        <x:v>민감도/운행개설 조건 후보</x:v>
      </x:c>
      <x:c r="F20" s="13" t="str">
        <x:v>https://www.mdpi.com/2071-1050/14/8/4697</x:v>
      </x:c>
      <x:c r="G20" s="13" t="str">
        <x:v>Song et al. (2022): 50/60/70% 비교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36" hidden="0" customWidth="1"/>
    <x:col min="9" max="9" width="4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0" hidden="0" customWidth="1"/>
    <x:col min="15" max="15" width="20" hidden="0" customWidth="1"/>
    <x:col min="16" max="16" width="16" hidden="0" customWidth="1"/>
    <x:col min="17" max="17" width="16" hidden="0" customWidth="1"/>
    <x:col min="18" max="18" width="18" hidden="0" customWidth="1"/>
    <x:col min="19" max="19" width="14" hidden="0" customWidth="1"/>
    <x:col min="20" max="20" width="55" hidden="0" customWidth="1"/>
    <x:col min="21" max="21" width="55" hidden="0" customWidth="1"/>
    <x:col min="22" max="22" width="55" hidden="0" customWidth="1"/>
    <x:col min="23" max="23" width="48" hidden="0" customWidth="1"/>
  </x:cols>
  <x:sheetData>
    <x:row r="1" ht="28" customHeight="1">
      <x:c r="A1" s="12" t="str">
        <x:v>corridor</x:v>
      </x:c>
      <x:c r="B1" s="12" t="str">
        <x:v>origin</x:v>
      </x:c>
      <x:c r="C1" s="12" t="str">
        <x:v>destination</x:v>
      </x:c>
      <x:c r="D1" s="12" t="str">
        <x:v>candidate_status</x:v>
      </x:c>
      <x:c r="E1" s="12" t="str">
        <x:v>physical_feasible</x:v>
      </x:c>
      <x:c r="F1" s="12" t="str">
        <x:v>rail_distance_km</x:v>
      </x:c>
      <x:c r="G1" s="12" t="str">
        <x:v>distance_basis</x:v>
      </x:c>
      <x:c r="H1" s="12" t="str">
        <x:v>rail_path</x:v>
      </x:c>
      <x:c r="I1" s="12" t="str">
        <x:v>existing_service_evidence</x:v>
      </x:c>
      <x:c r="J1" s="12" t="str">
        <x:v>running_time_proxy_h</x:v>
      </x:c>
      <x:c r="K1" s="12" t="str">
        <x:v>lead_run_only_h</x:v>
      </x:c>
      <x:c r="L1" s="12" t="str">
        <x:v>lead_plus3h_h</x:v>
      </x:c>
      <x:c r="M1" s="12" t="str">
        <x:v>lead_plus6h_h</x:v>
      </x:c>
      <x:c r="N1" s="12" t="str">
        <x:v>empty_tariff_20ft_krw</x:v>
      </x:c>
      <x:c r="O1" s="12" t="str">
        <x:v>empty_tariff_40ft_krw</x:v>
      </x:c>
      <x:c r="P1" s="12" t="str">
        <x:v>base_max_wagons</x:v>
      </x:c>
      <x:c r="Q1" s="12" t="str">
        <x:v>base_capacity_teu</x:v>
      </x:c>
      <x:c r="R1" s="12" t="str">
        <x:v>literature_load_factor</x:v>
      </x:c>
      <x:c r="S1" s="12" t="str">
        <x:v>model_status</x:v>
      </x:c>
      <x:c r="T1" s="12" t="str">
        <x:v>distance_source</x:v>
      </x:c>
      <x:c r="U1" s="12" t="str">
        <x:v>timetable_source</x:v>
      </x:c>
      <x:c r="V1" s="12" t="str">
        <x:v>tariff_source</x:v>
      </x:c>
      <x:c r="W1" s="12" t="str">
        <x:v>notes</x:v>
      </x:c>
    </x:row>
    <x:row r="2">
      <x:c r="A2" s="13" t="str">
        <x:v>경부축</x:v>
      </x:c>
      <x:c r="B2" s="13" t="str">
        <x:v>오봉</x:v>
      </x:c>
      <x:c r="C2" s="13" t="str">
        <x:v>부강화물</x:v>
      </x:c>
      <x:c r="D2" s="13" t="str">
        <x:v>허용</x:v>
      </x:c>
      <x:c r="E2" s="13" t="n">
        <x:v>1</x:v>
      </x:c>
      <x:c r="F2" s="38" t="n">
        <x:v>111.8</x:v>
      </x:c>
      <x:c r="G2" s="13" t="str">
        <x:v>재구성값</x:v>
      </x:c>
      <x:c r="H2" s="13" t="str">
        <x:v>남부화물기지선-경부선-부강화물선</x:v>
      </x:c>
      <x:c r="I2" s="13" t="str">
        <x:v>2025 화물열차 시간표로 방향별 기존 직통서비스 검증 필요</x:v>
      </x:c>
      <x:c r="J2" s="28" t="n">
        <x:f>F2/REFERENCE_PARAMS!$B$10</x:f>
        <x:v>1.6349904714557957</x:v>
      </x:c>
      <x:c r="K2" s="39" t="n">
        <x:f>CEILING(J2,1)</x:f>
        <x:v>2</x:v>
      </x:c>
      <x:c r="L2" s="39" t="n">
        <x:f>CEILING(J2+REFERENCE_PARAMS!$B$6,1)</x:f>
        <x:v>5</x:v>
      </x:c>
      <x:c r="M2" s="39" t="n">
        <x:f>CEILING(J2+REFERENCE_PARAMS!$B$6+REFERENCE_PARAMS!$B$7,1)</x:f>
        <x:v>8</x:v>
      </x:c>
      <x:c r="N2" s="40" t="n">
        <x:f>MAX(F2,REFERENCE_PARAMS!$B$5)*REFERENCE_PARAMS!$B$2*REFERENCE_PARAMS!$B$4</x:f>
        <x:v>42689.712</x:v>
      </x:c>
      <x:c r="O2" s="40" t="n">
        <x:f>MAX(F2,REFERENCE_PARAMS!$B$5)*REFERENCE_PARAMS!$B$3*REFERENCE_PARAMS!$B$4</x:f>
        <x:v>66185.6</x:v>
      </x:c>
      <x:c r="P2" s="39" t="n">
        <x:v>40</x:v>
      </x:c>
      <x:c r="Q2" s="39" t="n">
        <x:f>P2*REFERENCE_PARAMS!$B$12</x:f>
        <x:v>80</x:v>
      </x:c>
      <x:c r="R2" s="41" t="n">
        <x:v>0.7</x:v>
      </x:c>
      <x:c r="S2" s="13" t="str">
        <x:v>후보 OD</x:v>
      </x:c>
      <x:c r="T2" s="13" t="str">
        <x:v>https://www.data.go.kr/data/15137040/fileData.do</x:v>
      </x:c>
      <x:c r="U2" s="13" t="str">
        <x:v>https://www.data.go.kr/data/15042241/fileData.do?recommendDataYn=Y</x:v>
      </x:c>
      <x:c r="V2" s="13" t="str">
        <x:v>https://info.korail.com/info/contents.do?key=873</x:v>
      </x:c>
      <x:c r="W2" s="13" t="str">
        <x:v>중간 거점 환적을 강제하지 않는 corridor-based direct OD</x:v>
      </x:c>
    </x:row>
    <x:row r="3">
      <x:c r="A3" s="13" t="str">
        <x:v>경부축</x:v>
      </x:c>
      <x:c r="B3" s="13" t="str">
        <x:v>부강화물</x:v>
      </x:c>
      <x:c r="C3" s="13" t="str">
        <x:v>오봉</x:v>
      </x:c>
      <x:c r="D3" s="13" t="str">
        <x:v>허용</x:v>
      </x:c>
      <x:c r="E3" s="13" t="n">
        <x:v>1</x:v>
      </x:c>
      <x:c r="F3" s="38" t="n">
        <x:v>111.8</x:v>
      </x:c>
      <x:c r="G3" s="13" t="str">
        <x:v>재구성값</x:v>
      </x:c>
      <x:c r="H3" s="13" t="str">
        <x:v>남부화물기지선-경부선-부강화물선</x:v>
      </x:c>
      <x:c r="I3" s="13" t="str">
        <x:v>2025 화물열차 시간표로 방향별 기존 직통서비스 검증 필요</x:v>
      </x:c>
      <x:c r="J3" s="28" t="n">
        <x:f>F3/REFERENCE_PARAMS!$B$10</x:f>
        <x:v>1.6349904714557957</x:v>
      </x:c>
      <x:c r="K3" s="39" t="n">
        <x:f>CEILING(J3,1)</x:f>
        <x:v>2</x:v>
      </x:c>
      <x:c r="L3" s="39" t="n">
        <x:f>CEILING(J3+REFERENCE_PARAMS!$B$6,1)</x:f>
        <x:v>5</x:v>
      </x:c>
      <x:c r="M3" s="39" t="n">
        <x:f>CEILING(J3+REFERENCE_PARAMS!$B$6+REFERENCE_PARAMS!$B$7,1)</x:f>
        <x:v>8</x:v>
      </x:c>
      <x:c r="N3" s="40" t="n">
        <x:f>MAX(F3,REFERENCE_PARAMS!$B$5)*REFERENCE_PARAMS!$B$2*REFERENCE_PARAMS!$B$4</x:f>
        <x:v>42689.712</x:v>
      </x:c>
      <x:c r="O3" s="40" t="n">
        <x:f>MAX(F3,REFERENCE_PARAMS!$B$5)*REFERENCE_PARAMS!$B$3*REFERENCE_PARAMS!$B$4</x:f>
        <x:v>66185.6</x:v>
      </x:c>
      <x:c r="P3" s="39" t="n">
        <x:v>40</x:v>
      </x:c>
      <x:c r="Q3" s="39" t="n">
        <x:f>P3*REFERENCE_PARAMS!$B$12</x:f>
        <x:v>80</x:v>
      </x:c>
      <x:c r="R3" s="41" t="n">
        <x:v>0.7</x:v>
      </x:c>
      <x:c r="S3" s="13" t="str">
        <x:v>후보 OD</x:v>
      </x:c>
      <x:c r="T3" s="13" t="str">
        <x:v>https://www.data.go.kr/data/15137040/fileData.do</x:v>
      </x:c>
      <x:c r="U3" s="13" t="str">
        <x:v>https://www.data.go.kr/data/15042241/fileData.do?recommendDataYn=Y</x:v>
      </x:c>
      <x:c r="V3" s="13" t="str">
        <x:v>https://info.korail.com/info/contents.do?key=873</x:v>
      </x:c>
      <x:c r="W3" s="13" t="str">
        <x:v>중간 거점 환적을 강제하지 않는 corridor-based direct OD</x:v>
      </x:c>
    </x:row>
    <x:row r="4">
      <x:c r="A4" s="13" t="str">
        <x:v>경부축</x:v>
      </x:c>
      <x:c r="B4" s="13" t="str">
        <x:v>오봉</x:v>
      </x:c>
      <x:c r="C4" s="13" t="str">
        <x:v>약목</x:v>
      </x:c>
      <x:c r="D4" s="13" t="str">
        <x:v>허용</x:v>
      </x:c>
      <x:c r="E4" s="13" t="n">
        <x:v>1</x:v>
      </x:c>
      <x:c r="F4" s="38" t="n">
        <x:v>258.6</x:v>
      </x:c>
      <x:c r="G4" s="13" t="str">
        <x:v>재구성값</x:v>
      </x:c>
      <x:c r="H4" s="13" t="str">
        <x:v>남부화물기지선-경부선</x:v>
      </x:c>
      <x:c r="I4" s="13" t="str">
        <x:v>2025 화물열차 시간표로 방향별 기존 직통서비스 검증 필요</x:v>
      </x:c>
      <x:c r="J4" s="28" t="n">
        <x:f>F4/REFERENCE_PARAMS!$B$10</x:f>
        <x:v>3.7818294804871986</x:v>
      </x:c>
      <x:c r="K4" s="39" t="n">
        <x:f>CEILING(J4,1)</x:f>
        <x:v>4</x:v>
      </x:c>
      <x:c r="L4" s="39" t="n">
        <x:f>CEILING(J4+REFERENCE_PARAMS!$B$6,1)</x:f>
        <x:v>7</x:v>
      </x:c>
      <x:c r="M4" s="39" t="n">
        <x:f>CEILING(J4+REFERENCE_PARAMS!$B$6+REFERENCE_PARAMS!$B$7,1)</x:f>
        <x:v>10</x:v>
      </x:c>
      <x:c r="N4" s="40" t="n">
        <x:f>MAX(F4,REFERENCE_PARAMS!$B$5)*REFERENCE_PARAMS!$B$2*REFERENCE_PARAMS!$B$4</x:f>
        <x:v>98743.82400000001</x:v>
      </x:c>
      <x:c r="O4" s="40" t="n">
        <x:f>MAX(F4,REFERENCE_PARAMS!$B$5)*REFERENCE_PARAMS!$B$3*REFERENCE_PARAMS!$B$4</x:f>
        <x:v>153091.2</x:v>
      </x:c>
      <x:c r="P4" s="39" t="n">
        <x:v>40</x:v>
      </x:c>
      <x:c r="Q4" s="39" t="n">
        <x:f>P4*REFERENCE_PARAMS!$B$12</x:f>
        <x:v>80</x:v>
      </x:c>
      <x:c r="R4" s="41" t="n">
        <x:v>0.7</x:v>
      </x:c>
      <x:c r="S4" s="13" t="str">
        <x:v>후보 OD</x:v>
      </x:c>
      <x:c r="T4" s="13" t="str">
        <x:v>https://www.data.go.kr/data/15137040/fileData.do</x:v>
      </x:c>
      <x:c r="U4" s="13" t="str">
        <x:v>https://www.data.go.kr/data/15042241/fileData.do?recommendDataYn=Y</x:v>
      </x:c>
      <x:c r="V4" s="13" t="str">
        <x:v>https://info.korail.com/info/contents.do?key=873</x:v>
      </x:c>
      <x:c r="W4" s="13" t="str">
        <x:v>중간 거점 환적을 강제하지 않는 corridor-based direct OD</x:v>
      </x:c>
    </x:row>
    <x:row r="5">
      <x:c r="A5" s="13" t="str">
        <x:v>경부축</x:v>
      </x:c>
      <x:c r="B5" s="13" t="str">
        <x:v>약목</x:v>
      </x:c>
      <x:c r="C5" s="13" t="str">
        <x:v>오봉</x:v>
      </x:c>
      <x:c r="D5" s="13" t="str">
        <x:v>허용</x:v>
      </x:c>
      <x:c r="E5" s="13" t="n">
        <x:v>1</x:v>
      </x:c>
      <x:c r="F5" s="38" t="n">
        <x:v>258.6</x:v>
      </x:c>
      <x:c r="G5" s="13" t="str">
        <x:v>재구성값</x:v>
      </x:c>
      <x:c r="H5" s="13" t="str">
        <x:v>남부화물기지선-경부선</x:v>
      </x:c>
      <x:c r="I5" s="13" t="str">
        <x:v>2025 화물열차 시간표로 방향별 기존 직통서비스 검증 필요</x:v>
      </x:c>
      <x:c r="J5" s="28" t="n">
        <x:f>F5/REFERENCE_PARAMS!$B$10</x:f>
        <x:v>3.7818294804871986</x:v>
      </x:c>
      <x:c r="K5" s="39" t="n">
        <x:f>CEILING(J5,1)</x:f>
        <x:v>4</x:v>
      </x:c>
      <x:c r="L5" s="39" t="n">
        <x:f>CEILING(J5+REFERENCE_PARAMS!$B$6,1)</x:f>
        <x:v>7</x:v>
      </x:c>
      <x:c r="M5" s="39" t="n">
        <x:f>CEILING(J5+REFERENCE_PARAMS!$B$6+REFERENCE_PARAMS!$B$7,1)</x:f>
        <x:v>10</x:v>
      </x:c>
      <x:c r="N5" s="40" t="n">
        <x:f>MAX(F5,REFERENCE_PARAMS!$B$5)*REFERENCE_PARAMS!$B$2*REFERENCE_PARAMS!$B$4</x:f>
        <x:v>98743.82400000001</x:v>
      </x:c>
      <x:c r="O5" s="40" t="n">
        <x:f>MAX(F5,REFERENCE_PARAMS!$B$5)*REFERENCE_PARAMS!$B$3*REFERENCE_PARAMS!$B$4</x:f>
        <x:v>153091.2</x:v>
      </x:c>
      <x:c r="P5" s="39" t="n">
        <x:v>40</x:v>
      </x:c>
      <x:c r="Q5" s="39" t="n">
        <x:f>P5*REFERENCE_PARAMS!$B$12</x:f>
        <x:v>80</x:v>
      </x:c>
      <x:c r="R5" s="41" t="n">
        <x:v>0.7</x:v>
      </x:c>
      <x:c r="S5" s="13" t="str">
        <x:v>후보 OD</x:v>
      </x:c>
      <x:c r="T5" s="13" t="str">
        <x:v>https://www.data.go.kr/data/15137040/fileData.do</x:v>
      </x:c>
      <x:c r="U5" s="13" t="str">
        <x:v>https://www.data.go.kr/data/15042241/fileData.do?recommendDataYn=Y</x:v>
      </x:c>
      <x:c r="V5" s="13" t="str">
        <x:v>https://info.korail.com/info/contents.do?key=873</x:v>
      </x:c>
      <x:c r="W5" s="13" t="str">
        <x:v>중간 거점 환적을 강제하지 않는 corridor-based direct OD</x:v>
      </x:c>
    </x:row>
    <x:row r="6">
      <x:c r="A6" s="13" t="str">
        <x:v>경부축</x:v>
      </x:c>
      <x:c r="B6" s="13" t="str">
        <x:v>오봉</x:v>
      </x:c>
      <x:c r="C6" s="13" t="str">
        <x:v>부산신항</x:v>
      </x:c>
      <x:c r="D6" s="13" t="str">
        <x:v>허용</x:v>
      </x:c>
      <x:c r="E6" s="13" t="n">
        <x:v>1</x:v>
      </x:c>
      <x:c r="F6" s="38" t="n">
        <x:v>402.3</x:v>
      </x:c>
      <x:c r="G6" s="13" t="str">
        <x:v>코레일 직접 공표</x:v>
      </x:c>
      <x:c r="H6" s="13" t="str">
        <x:v>경부축-부산신항 연결선</x:v>
      </x:c>
      <x:c r="I6" s="13" t="str">
        <x:v>오봉-부산신항 축 운행 실증 근거 있음; 방향별 2025 시간표 검증 필요</x:v>
      </x:c>
      <x:c r="J6" s="28" t="n">
        <x:f>F6/REFERENCE_PARAMS!$B$10</x:f>
        <x:v>5.883333333333333</x:v>
      </x:c>
      <x:c r="K6" s="39" t="n">
        <x:f>CEILING(J6,1)</x:f>
        <x:v>6</x:v>
      </x:c>
      <x:c r="L6" s="39" t="n">
        <x:f>CEILING(J6+REFERENCE_PARAMS!$B$6,1)</x:f>
        <x:v>9</x:v>
      </x:c>
      <x:c r="M6" s="39" t="n">
        <x:f>CEILING(J6+REFERENCE_PARAMS!$B$6+REFERENCE_PARAMS!$B$7,1)</x:f>
        <x:v>12</x:v>
      </x:c>
      <x:c r="N6" s="40" t="n">
        <x:f>MAX(F6,REFERENCE_PARAMS!$B$5)*REFERENCE_PARAMS!$B$2*REFERENCE_PARAMS!$B$4</x:f>
        <x:v>153614.23200000002</x:v>
      </x:c>
      <x:c r="O6" s="40" t="n">
        <x:f>MAX(F6,REFERENCE_PARAMS!$B$5)*REFERENCE_PARAMS!$B$3*REFERENCE_PARAMS!$B$4</x:f>
        <x:v>238161.6</x:v>
      </x:c>
      <x:c r="P6" s="39" t="n">
        <x:v>40</x:v>
      </x:c>
      <x:c r="Q6" s="39" t="n">
        <x:f>P6*REFERENCE_PARAMS!$B$12</x:f>
        <x:v>80</x:v>
      </x:c>
      <x:c r="R6" s="41" t="n">
        <x:v>0.7</x:v>
      </x:c>
      <x:c r="S6" s="13" t="str">
        <x:v>후보 OD</x:v>
      </x:c>
      <x:c r="T6" s="13" t="str">
        <x:v>https://www.data.go.kr/data/15137040/fileData.do</x:v>
      </x:c>
      <x:c r="U6" s="13" t="str">
        <x:v>https://www.data.go.kr/data/15042241/fileData.do?recommendDataYn=Y</x:v>
      </x:c>
      <x:c r="V6" s="13" t="str">
        <x:v>https://info.korail.com/info/contents.do?key=873</x:v>
      </x:c>
      <x:c r="W6" s="13" t="str">
        <x:v>중간 거점 환적을 강제하지 않는 corridor-based direct OD</x:v>
      </x:c>
    </x:row>
    <x:row r="7">
      <x:c r="A7" s="13" t="str">
        <x:v>경부축</x:v>
      </x:c>
      <x:c r="B7" s="13" t="str">
        <x:v>부산신항</x:v>
      </x:c>
      <x:c r="C7" s="13" t="str">
        <x:v>오봉</x:v>
      </x:c>
      <x:c r="D7" s="13" t="str">
        <x:v>허용</x:v>
      </x:c>
      <x:c r="E7" s="13" t="n">
        <x:v>1</x:v>
      </x:c>
      <x:c r="F7" s="38" t="n">
        <x:v>402.3</x:v>
      </x:c>
      <x:c r="G7" s="13" t="str">
        <x:v>코레일 직접 공표</x:v>
      </x:c>
      <x:c r="H7" s="13" t="str">
        <x:v>경부축-부산신항 연결선</x:v>
      </x:c>
      <x:c r="I7" s="13" t="str">
        <x:v>오봉-부산신항 축 운행 실증 근거 있음; 방향별 2025 시간표 검증 필요</x:v>
      </x:c>
      <x:c r="J7" s="28" t="n">
        <x:f>F7/REFERENCE_PARAMS!$B$10</x:f>
        <x:v>5.883333333333333</x:v>
      </x:c>
      <x:c r="K7" s="39" t="n">
        <x:f>CEILING(J7,1)</x:f>
        <x:v>6</x:v>
      </x:c>
      <x:c r="L7" s="39" t="n">
        <x:f>CEILING(J7+REFERENCE_PARAMS!$B$6,1)</x:f>
        <x:v>9</x:v>
      </x:c>
      <x:c r="M7" s="39" t="n">
        <x:f>CEILING(J7+REFERENCE_PARAMS!$B$6+REFERENCE_PARAMS!$B$7,1)</x:f>
        <x:v>12</x:v>
      </x:c>
      <x:c r="N7" s="40" t="n">
        <x:f>MAX(F7,REFERENCE_PARAMS!$B$5)*REFERENCE_PARAMS!$B$2*REFERENCE_PARAMS!$B$4</x:f>
        <x:v>153614.23200000002</x:v>
      </x:c>
      <x:c r="O7" s="40" t="n">
        <x:f>MAX(F7,REFERENCE_PARAMS!$B$5)*REFERENCE_PARAMS!$B$3*REFERENCE_PARAMS!$B$4</x:f>
        <x:v>238161.6</x:v>
      </x:c>
      <x:c r="P7" s="39" t="n">
        <x:v>40</x:v>
      </x:c>
      <x:c r="Q7" s="39" t="n">
        <x:f>P7*REFERENCE_PARAMS!$B$12</x:f>
        <x:v>80</x:v>
      </x:c>
      <x:c r="R7" s="41" t="n">
        <x:v>0.7</x:v>
      </x:c>
      <x:c r="S7" s="13" t="str">
        <x:v>후보 OD</x:v>
      </x:c>
      <x:c r="T7" s="13" t="str">
        <x:v>https://www.data.go.kr/data/15137040/fileData.do</x:v>
      </x:c>
      <x:c r="U7" s="13" t="str">
        <x:v>https://www.data.go.kr/data/15042241/fileData.do?recommendDataYn=Y</x:v>
      </x:c>
      <x:c r="V7" s="13" t="str">
        <x:v>https://info.korail.com/info/contents.do?key=873</x:v>
      </x:c>
      <x:c r="W7" s="13" t="str">
        <x:v>중간 거점 환적을 강제하지 않는 corridor-based direct OD</x:v>
      </x:c>
    </x:row>
    <x:row r="8">
      <x:c r="A8" s="13" t="str">
        <x:v>경부축</x:v>
      </x:c>
      <x:c r="B8" s="13" t="str">
        <x:v>부강화물</x:v>
      </x:c>
      <x:c r="C8" s="13" t="str">
        <x:v>약목</x:v>
      </x:c>
      <x:c r="D8" s="13" t="str">
        <x:v>허용</x:v>
      </x:c>
      <x:c r="E8" s="13" t="n">
        <x:v>1</x:v>
      </x:c>
      <x:c r="F8" s="38" t="n">
        <x:v>152.6</x:v>
      </x:c>
      <x:c r="G8" s="13" t="str">
        <x:v>재구성값</x:v>
      </x:c>
      <x:c r="H8" s="13" t="str">
        <x:v>부강화물선-경부선</x:v>
      </x:c>
      <x:c r="I8" s="13" t="str">
        <x:v>2025 화물열차 시간표로 방향별 기존 직통서비스 검증 필요</x:v>
      </x:c>
      <x:c r="J8" s="28" t="n">
        <x:f>F8/REFERENCE_PARAMS!$B$10</x:f>
        <x:v>2.2316596238296458</x:v>
      </x:c>
      <x:c r="K8" s="39" t="n">
        <x:f>CEILING(J8,1)</x:f>
        <x:v>3</x:v>
      </x:c>
      <x:c r="L8" s="39" t="n">
        <x:f>CEILING(J8+REFERENCE_PARAMS!$B$6,1)</x:f>
        <x:v>6</x:v>
      </x:c>
      <x:c r="M8" s="39" t="n">
        <x:f>CEILING(J8+REFERENCE_PARAMS!$B$6+REFERENCE_PARAMS!$B$7,1)</x:f>
        <x:v>9</x:v>
      </x:c>
      <x:c r="N8" s="40" t="n">
        <x:f>MAX(F8,REFERENCE_PARAMS!$B$5)*REFERENCE_PARAMS!$B$2*REFERENCE_PARAMS!$B$4</x:f>
        <x:v>58268.78399999999</x:v>
      </x:c>
      <x:c r="O8" s="40" t="n">
        <x:f>MAX(F8,REFERENCE_PARAMS!$B$5)*REFERENCE_PARAMS!$B$3*REFERENCE_PARAMS!$B$4</x:f>
        <x:v>90339.2</x:v>
      </x:c>
      <x:c r="P8" s="39" t="n">
        <x:v>40</x:v>
      </x:c>
      <x:c r="Q8" s="39" t="n">
        <x:f>P8*REFERENCE_PARAMS!$B$12</x:f>
        <x:v>80</x:v>
      </x:c>
      <x:c r="R8" s="41" t="n">
        <x:v>0.7</x:v>
      </x:c>
      <x:c r="S8" s="13" t="str">
        <x:v>후보 OD</x:v>
      </x:c>
      <x:c r="T8" s="13" t="str">
        <x:v>https://www.data.go.kr/data/15137040/fileData.do</x:v>
      </x:c>
      <x:c r="U8" s="13" t="str">
        <x:v>https://www.data.go.kr/data/15042241/fileData.do?recommendDataYn=Y</x:v>
      </x:c>
      <x:c r="V8" s="13" t="str">
        <x:v>https://info.korail.com/info/contents.do?key=873</x:v>
      </x:c>
      <x:c r="W8" s="13" t="str">
        <x:v>중간 거점 환적을 강제하지 않는 corridor-based direct OD</x:v>
      </x:c>
    </x:row>
    <x:row r="9">
      <x:c r="A9" s="13" t="str">
        <x:v>경부축</x:v>
      </x:c>
      <x:c r="B9" s="13" t="str">
        <x:v>약목</x:v>
      </x:c>
      <x:c r="C9" s="13" t="str">
        <x:v>부강화물</x:v>
      </x:c>
      <x:c r="D9" s="13" t="str">
        <x:v>허용</x:v>
      </x:c>
      <x:c r="E9" s="13" t="n">
        <x:v>1</x:v>
      </x:c>
      <x:c r="F9" s="38" t="n">
        <x:v>152.6</x:v>
      </x:c>
      <x:c r="G9" s="13" t="str">
        <x:v>재구성값</x:v>
      </x:c>
      <x:c r="H9" s="13" t="str">
        <x:v>부강화물선-경부선</x:v>
      </x:c>
      <x:c r="I9" s="13" t="str">
        <x:v>2025 화물열차 시간표로 방향별 기존 직통서비스 검증 필요</x:v>
      </x:c>
      <x:c r="J9" s="28" t="n">
        <x:f>F9/REFERENCE_PARAMS!$B$10</x:f>
        <x:v>2.2316596238296458</x:v>
      </x:c>
      <x:c r="K9" s="39" t="n">
        <x:f>CEILING(J9,1)</x:f>
        <x:v>3</x:v>
      </x:c>
      <x:c r="L9" s="39" t="n">
        <x:f>CEILING(J9+REFERENCE_PARAMS!$B$6,1)</x:f>
        <x:v>6</x:v>
      </x:c>
      <x:c r="M9" s="39" t="n">
        <x:f>CEILING(J9+REFERENCE_PARAMS!$B$6+REFERENCE_PARAMS!$B$7,1)</x:f>
        <x:v>9</x:v>
      </x:c>
      <x:c r="N9" s="40" t="n">
        <x:f>MAX(F9,REFERENCE_PARAMS!$B$5)*REFERENCE_PARAMS!$B$2*REFERENCE_PARAMS!$B$4</x:f>
        <x:v>58268.78399999999</x:v>
      </x:c>
      <x:c r="O9" s="40" t="n">
        <x:f>MAX(F9,REFERENCE_PARAMS!$B$5)*REFERENCE_PARAMS!$B$3*REFERENCE_PARAMS!$B$4</x:f>
        <x:v>90339.2</x:v>
      </x:c>
      <x:c r="P9" s="39" t="n">
        <x:v>40</x:v>
      </x:c>
      <x:c r="Q9" s="39" t="n">
        <x:f>P9*REFERENCE_PARAMS!$B$12</x:f>
        <x:v>80</x:v>
      </x:c>
      <x:c r="R9" s="41" t="n">
        <x:v>0.7</x:v>
      </x:c>
      <x:c r="S9" s="13" t="str">
        <x:v>후보 OD</x:v>
      </x:c>
      <x:c r="T9" s="13" t="str">
        <x:v>https://www.data.go.kr/data/15137040/fileData.do</x:v>
      </x:c>
      <x:c r="U9" s="13" t="str">
        <x:v>https://www.data.go.kr/data/15042241/fileData.do?recommendDataYn=Y</x:v>
      </x:c>
      <x:c r="V9" s="13" t="str">
        <x:v>https://info.korail.com/info/contents.do?key=873</x:v>
      </x:c>
      <x:c r="W9" s="13" t="str">
        <x:v>중간 거점 환적을 강제하지 않는 corridor-based direct OD</x:v>
      </x:c>
    </x:row>
    <x:row r="10">
      <x:c r="A10" s="13" t="str">
        <x:v>경부축</x:v>
      </x:c>
      <x:c r="B10" s="13" t="str">
        <x:v>부강화물</x:v>
      </x:c>
      <x:c r="C10" s="13" t="str">
        <x:v>부산신항</x:v>
      </x:c>
      <x:c r="D10" s="13" t="str">
        <x:v>허용</x:v>
      </x:c>
      <x:c r="E10" s="13" t="n">
        <x:v>1</x:v>
      </x:c>
      <x:c r="F10" s="38" t="n">
        <x:v>296.3</x:v>
      </x:c>
      <x:c r="G10" s="13" t="str">
        <x:v>재구성값</x:v>
      </x:c>
      <x:c r="H10" s="13" t="str">
        <x:v>부강화물선-경부축-부산신항 연결선</x:v>
      </x:c>
      <x:c r="I10" s="13" t="str">
        <x:v>2025 화물열차 시간표로 방향별 기존 직통서비스 검증 필요</x:v>
      </x:c>
      <x:c r="J10" s="28" t="n">
        <x:f>F10/REFERENCE_PARAMS!$B$10</x:f>
        <x:v>4.3331634766757805</x:v>
      </x:c>
      <x:c r="K10" s="39" t="n">
        <x:f>CEILING(J10,1)</x:f>
        <x:v>5</x:v>
      </x:c>
      <x:c r="L10" s="39" t="n">
        <x:f>CEILING(J10+REFERENCE_PARAMS!$B$6,1)</x:f>
        <x:v>8</x:v>
      </x:c>
      <x:c r="M10" s="39" t="n">
        <x:f>CEILING(J10+REFERENCE_PARAMS!$B$6+REFERENCE_PARAMS!$B$7,1)</x:f>
        <x:v>11</x:v>
      </x:c>
      <x:c r="N10" s="40" t="n">
        <x:f>MAX(F10,REFERENCE_PARAMS!$B$5)*REFERENCE_PARAMS!$B$2*REFERENCE_PARAMS!$B$4</x:f>
        <x:v>113139.19200000001</x:v>
      </x:c>
      <x:c r="O10" s="40" t="n">
        <x:f>MAX(F10,REFERENCE_PARAMS!$B$5)*REFERENCE_PARAMS!$B$3*REFERENCE_PARAMS!$B$4</x:f>
        <x:v>175409.6</x:v>
      </x:c>
      <x:c r="P10" s="39" t="n">
        <x:v>40</x:v>
      </x:c>
      <x:c r="Q10" s="39" t="n">
        <x:f>P10*REFERENCE_PARAMS!$B$12</x:f>
        <x:v>80</x:v>
      </x:c>
      <x:c r="R10" s="41" t="n">
        <x:v>0.7</x:v>
      </x:c>
      <x:c r="S10" s="13" t="str">
        <x:v>후보 OD</x:v>
      </x:c>
      <x:c r="T10" s="13" t="str">
        <x:v>https://www.data.go.kr/data/15137040/fileData.do</x:v>
      </x:c>
      <x:c r="U10" s="13" t="str">
        <x:v>https://www.data.go.kr/data/15042241/fileData.do?recommendDataYn=Y</x:v>
      </x:c>
      <x:c r="V10" s="13" t="str">
        <x:v>https://info.korail.com/info/contents.do?key=873</x:v>
      </x:c>
      <x:c r="W10" s="13" t="str">
        <x:v>중간 거점 환적을 강제하지 않는 corridor-based direct OD</x:v>
      </x:c>
    </x:row>
    <x:row r="11">
      <x:c r="A11" s="13" t="str">
        <x:v>경부축</x:v>
      </x:c>
      <x:c r="B11" s="13" t="str">
        <x:v>부산신항</x:v>
      </x:c>
      <x:c r="C11" s="13" t="str">
        <x:v>부강화물</x:v>
      </x:c>
      <x:c r="D11" s="13" t="str">
        <x:v>허용</x:v>
      </x:c>
      <x:c r="E11" s="13" t="n">
        <x:v>1</x:v>
      </x:c>
      <x:c r="F11" s="38" t="n">
        <x:v>296.3</x:v>
      </x:c>
      <x:c r="G11" s="13" t="str">
        <x:v>재구성값</x:v>
      </x:c>
      <x:c r="H11" s="13" t="str">
        <x:v>부강화물선-경부축-부산신항 연결선</x:v>
      </x:c>
      <x:c r="I11" s="13" t="str">
        <x:v>2025 화물열차 시간표로 방향별 기존 직통서비스 검증 필요</x:v>
      </x:c>
      <x:c r="J11" s="28" t="n">
        <x:f>F11/REFERENCE_PARAMS!$B$10</x:f>
        <x:v>4.3331634766757805</x:v>
      </x:c>
      <x:c r="K11" s="39" t="n">
        <x:f>CEILING(J11,1)</x:f>
        <x:v>5</x:v>
      </x:c>
      <x:c r="L11" s="39" t="n">
        <x:f>CEILING(J11+REFERENCE_PARAMS!$B$6,1)</x:f>
        <x:v>8</x:v>
      </x:c>
      <x:c r="M11" s="39" t="n">
        <x:f>CEILING(J11+REFERENCE_PARAMS!$B$6+REFERENCE_PARAMS!$B$7,1)</x:f>
        <x:v>11</x:v>
      </x:c>
      <x:c r="N11" s="40" t="n">
        <x:f>MAX(F11,REFERENCE_PARAMS!$B$5)*REFERENCE_PARAMS!$B$2*REFERENCE_PARAMS!$B$4</x:f>
        <x:v>113139.19200000001</x:v>
      </x:c>
      <x:c r="O11" s="40" t="n">
        <x:f>MAX(F11,REFERENCE_PARAMS!$B$5)*REFERENCE_PARAMS!$B$3*REFERENCE_PARAMS!$B$4</x:f>
        <x:v>175409.6</x:v>
      </x:c>
      <x:c r="P11" s="39" t="n">
        <x:v>40</x:v>
      </x:c>
      <x:c r="Q11" s="39" t="n">
        <x:f>P11*REFERENCE_PARAMS!$B$12</x:f>
        <x:v>80</x:v>
      </x:c>
      <x:c r="R11" s="41" t="n">
        <x:v>0.7</x:v>
      </x:c>
      <x:c r="S11" s="13" t="str">
        <x:v>후보 OD</x:v>
      </x:c>
      <x:c r="T11" s="13" t="str">
        <x:v>https://www.data.go.kr/data/15137040/fileData.do</x:v>
      </x:c>
      <x:c r="U11" s="13" t="str">
        <x:v>https://www.data.go.kr/data/15042241/fileData.do?recommendDataYn=Y</x:v>
      </x:c>
      <x:c r="V11" s="13" t="str">
        <x:v>https://info.korail.com/info/contents.do?key=873</x:v>
      </x:c>
      <x:c r="W11" s="13" t="str">
        <x:v>중간 거점 환적을 강제하지 않는 corridor-based direct OD</x:v>
      </x:c>
    </x:row>
    <x:row r="12">
      <x:c r="A12" s="13" t="str">
        <x:v>경부축</x:v>
      </x:c>
      <x:c r="B12" s="13" t="str">
        <x:v>약목</x:v>
      </x:c>
      <x:c r="C12" s="13" t="str">
        <x:v>부산신항</x:v>
      </x:c>
      <x:c r="D12" s="13" t="str">
        <x:v>허용</x:v>
      </x:c>
      <x:c r="E12" s="13" t="n">
        <x:v>1</x:v>
      </x:c>
      <x:c r="F12" s="38" t="n">
        <x:v>143.7</x:v>
      </x:c>
      <x:c r="G12" s="13" t="str">
        <x:v>재구성값</x:v>
      </x:c>
      <x:c r="H12" s="13" t="str">
        <x:v>경부축-부산신항 연결선</x:v>
      </x:c>
      <x:c r="I12" s="13" t="str">
        <x:v>2025 화물열차 시간표로 방향별 기존 직통서비스 검증 필요</x:v>
      </x:c>
      <x:c r="J12" s="28" t="n">
        <x:f>F12/REFERENCE_PARAMS!$B$10</x:f>
        <x:v>2.1015038528461343</x:v>
      </x:c>
      <x:c r="K12" s="39" t="n">
        <x:f>CEILING(J12,1)</x:f>
        <x:v>3</x:v>
      </x:c>
      <x:c r="L12" s="39" t="n">
        <x:f>CEILING(J12+REFERENCE_PARAMS!$B$6,1)</x:f>
        <x:v>6</x:v>
      </x:c>
      <x:c r="M12" s="39" t="n">
        <x:f>CEILING(J12+REFERENCE_PARAMS!$B$6+REFERENCE_PARAMS!$B$7,1)</x:f>
        <x:v>9</x:v>
      </x:c>
      <x:c r="N12" s="40" t="n">
        <x:f>MAX(F12,REFERENCE_PARAMS!$B$5)*REFERENCE_PARAMS!$B$2*REFERENCE_PARAMS!$B$4</x:f>
        <x:v>54870.407999999996</x:v>
      </x:c>
      <x:c r="O12" s="40" t="n">
        <x:f>MAX(F12,REFERENCE_PARAMS!$B$5)*REFERENCE_PARAMS!$B$3*REFERENCE_PARAMS!$B$4</x:f>
        <x:v>85070.4</x:v>
      </x:c>
      <x:c r="P12" s="39" t="n">
        <x:v>40</x:v>
      </x:c>
      <x:c r="Q12" s="39" t="n">
        <x:f>P12*REFERENCE_PARAMS!$B$12</x:f>
        <x:v>80</x:v>
      </x:c>
      <x:c r="R12" s="41" t="n">
        <x:v>0.7</x:v>
      </x:c>
      <x:c r="S12" s="13" t="str">
        <x:v>후보 OD</x:v>
      </x:c>
      <x:c r="T12" s="13" t="str">
        <x:v>https://www.data.go.kr/data/15137040/fileData.do</x:v>
      </x:c>
      <x:c r="U12" s="13" t="str">
        <x:v>https://www.data.go.kr/data/15042241/fileData.do?recommendDataYn=Y</x:v>
      </x:c>
      <x:c r="V12" s="13" t="str">
        <x:v>https://info.korail.com/info/contents.do?key=873</x:v>
      </x:c>
      <x:c r="W12" s="13" t="str">
        <x:v>중간 거점 환적을 강제하지 않는 corridor-based direct OD</x:v>
      </x:c>
    </x:row>
    <x:row r="13">
      <x:c r="A13" s="13" t="str">
        <x:v>경부축</x:v>
      </x:c>
      <x:c r="B13" s="13" t="str">
        <x:v>부산신항</x:v>
      </x:c>
      <x:c r="C13" s="13" t="str">
        <x:v>약목</x:v>
      </x:c>
      <x:c r="D13" s="13" t="str">
        <x:v>허용</x:v>
      </x:c>
      <x:c r="E13" s="13" t="n">
        <x:v>1</x:v>
      </x:c>
      <x:c r="F13" s="38" t="n">
        <x:v>143.7</x:v>
      </x:c>
      <x:c r="G13" s="13" t="str">
        <x:v>재구성값</x:v>
      </x:c>
      <x:c r="H13" s="13" t="str">
        <x:v>경부축-부산신항 연결선</x:v>
      </x:c>
      <x:c r="I13" s="13" t="str">
        <x:v>2025 화물열차 시간표로 방향별 기존 직통서비스 검증 필요</x:v>
      </x:c>
      <x:c r="J13" s="28" t="n">
        <x:f>F13/REFERENCE_PARAMS!$B$10</x:f>
        <x:v>2.1015038528461343</x:v>
      </x:c>
      <x:c r="K13" s="39" t="n">
        <x:f>CEILING(J13,1)</x:f>
        <x:v>3</x:v>
      </x:c>
      <x:c r="L13" s="39" t="n">
        <x:f>CEILING(J13+REFERENCE_PARAMS!$B$6,1)</x:f>
        <x:v>6</x:v>
      </x:c>
      <x:c r="M13" s="39" t="n">
        <x:f>CEILING(J13+REFERENCE_PARAMS!$B$6+REFERENCE_PARAMS!$B$7,1)</x:f>
        <x:v>9</x:v>
      </x:c>
      <x:c r="N13" s="40" t="n">
        <x:f>MAX(F13,REFERENCE_PARAMS!$B$5)*REFERENCE_PARAMS!$B$2*REFERENCE_PARAMS!$B$4</x:f>
        <x:v>54870.407999999996</x:v>
      </x:c>
      <x:c r="O13" s="40" t="n">
        <x:f>MAX(F13,REFERENCE_PARAMS!$B$5)*REFERENCE_PARAMS!$B$3*REFERENCE_PARAMS!$B$4</x:f>
        <x:v>85070.4</x:v>
      </x:c>
      <x:c r="P13" s="39" t="n">
        <x:v>40</x:v>
      </x:c>
      <x:c r="Q13" s="39" t="n">
        <x:f>P13*REFERENCE_PARAMS!$B$12</x:f>
        <x:v>80</x:v>
      </x:c>
      <x:c r="R13" s="41" t="n">
        <x:v>0.7</x:v>
      </x:c>
      <x:c r="S13" s="13" t="str">
        <x:v>후보 OD</x:v>
      </x:c>
      <x:c r="T13" s="13" t="str">
        <x:v>https://www.data.go.kr/data/15137040/fileData.do</x:v>
      </x:c>
      <x:c r="U13" s="13" t="str">
        <x:v>https://www.data.go.kr/data/15042241/fileData.do?recommendDataYn=Y</x:v>
      </x:c>
      <x:c r="V13" s="13" t="str">
        <x:v>https://info.korail.com/info/contents.do?key=873</x:v>
      </x:c>
      <x:c r="W13" s="13" t="str">
        <x:v>중간 거점 환적을 강제하지 않는 corridor-based direct OD</x:v>
      </x:c>
    </x:row>
    <x:row r="14">
      <x:c r="A14" s="13" t="str">
        <x:v>서남권축</x:v>
      </x:c>
      <x:c r="B14" s="13" t="str">
        <x:v>오봉</x:v>
      </x:c>
      <x:c r="C14" s="13" t="str">
        <x:v>동산</x:v>
      </x:c>
      <x:c r="D14" s="13" t="str">
        <x:v>허용</x:v>
      </x:c>
      <x:c r="E14" s="13" t="n">
        <x:v>1</x:v>
      </x:c>
      <x:c r="F14" s="38" t="n">
        <x:v>236.2</x:v>
      </x:c>
      <x:c r="G14" s="13" t="str">
        <x:v>재구성값</x:v>
      </x:c>
      <x:c r="H14" s="13" t="str">
        <x:v>남부화물기지선-경부선-호남선-전라선</x:v>
      </x:c>
      <x:c r="I14" s="13" t="str">
        <x:v>2025 화물열차 시간표로 방향별 기존 직통서비스 검증 필요</x:v>
      </x:c>
      <x:c r="J14" s="28" t="n">
        <x:f>F14/REFERENCE_PARAMS!$B$10</x:f>
        <x:v>3.4542464164388096</x:v>
      </x:c>
      <x:c r="K14" s="39" t="n">
        <x:f>CEILING(J14,1)</x:f>
        <x:v>4</x:v>
      </x:c>
      <x:c r="L14" s="39" t="n">
        <x:f>CEILING(J14+REFERENCE_PARAMS!$B$6,1)</x:f>
        <x:v>7</x:v>
      </x:c>
      <x:c r="M14" s="39" t="n">
        <x:f>CEILING(J14+REFERENCE_PARAMS!$B$6+REFERENCE_PARAMS!$B$7,1)</x:f>
        <x:v>10</x:v>
      </x:c>
      <x:c r="N14" s="40" t="n">
        <x:f>MAX(F14,REFERENCE_PARAMS!$B$5)*REFERENCE_PARAMS!$B$2*REFERENCE_PARAMS!$B$4</x:f>
        <x:v>90190.608</x:v>
      </x:c>
      <x:c r="O14" s="40" t="n">
        <x:f>MAX(F14,REFERENCE_PARAMS!$B$5)*REFERENCE_PARAMS!$B$3*REFERENCE_PARAMS!$B$4</x:f>
        <x:v>139830.4</x:v>
      </x:c>
      <x:c r="P14" s="39" t="n">
        <x:v>40</x:v>
      </x:c>
      <x:c r="Q14" s="39" t="n">
        <x:f>P14*REFERENCE_PARAMS!$B$12</x:f>
        <x:v>80</x:v>
      </x:c>
      <x:c r="R14" s="41" t="n">
        <x:v>0.7</x:v>
      </x:c>
      <x:c r="S14" s="13" t="str">
        <x:v>후보 OD</x:v>
      </x:c>
      <x:c r="T14" s="13" t="str">
        <x:v>https://www.data.go.kr/data/15137040/fileData.do</x:v>
      </x:c>
      <x:c r="U14" s="13" t="str">
        <x:v>https://www.data.go.kr/data/15042241/fileData.do?recommendDataYn=Y</x:v>
      </x:c>
      <x:c r="V14" s="13" t="str">
        <x:v>https://info.korail.com/info/contents.do?key=873</x:v>
      </x:c>
      <x:c r="W14" s="13" t="str">
        <x:v>중간 거점 환적을 강제하지 않는 corridor-based direct OD</x:v>
      </x:c>
    </x:row>
    <x:row r="15">
      <x:c r="A15" s="13" t="str">
        <x:v>서남권축</x:v>
      </x:c>
      <x:c r="B15" s="13" t="str">
        <x:v>동산</x:v>
      </x:c>
      <x:c r="C15" s="13" t="str">
        <x:v>오봉</x:v>
      </x:c>
      <x:c r="D15" s="13" t="str">
        <x:v>허용</x:v>
      </x:c>
      <x:c r="E15" s="13" t="n">
        <x:v>1</x:v>
      </x:c>
      <x:c r="F15" s="38" t="n">
        <x:v>236.2</x:v>
      </x:c>
      <x:c r="G15" s="13" t="str">
        <x:v>재구성값</x:v>
      </x:c>
      <x:c r="H15" s="13" t="str">
        <x:v>남부화물기지선-경부선-호남선-전라선</x:v>
      </x:c>
      <x:c r="I15" s="13" t="str">
        <x:v>2025 화물열차 시간표로 방향별 기존 직통서비스 검증 필요</x:v>
      </x:c>
      <x:c r="J15" s="28" t="n">
        <x:f>F15/REFERENCE_PARAMS!$B$10</x:f>
        <x:v>3.4542464164388096</x:v>
      </x:c>
      <x:c r="K15" s="39" t="n">
        <x:f>CEILING(J15,1)</x:f>
        <x:v>4</x:v>
      </x:c>
      <x:c r="L15" s="39" t="n">
        <x:f>CEILING(J15+REFERENCE_PARAMS!$B$6,1)</x:f>
        <x:v>7</x:v>
      </x:c>
      <x:c r="M15" s="39" t="n">
        <x:f>CEILING(J15+REFERENCE_PARAMS!$B$6+REFERENCE_PARAMS!$B$7,1)</x:f>
        <x:v>10</x:v>
      </x:c>
      <x:c r="N15" s="40" t="n">
        <x:f>MAX(F15,REFERENCE_PARAMS!$B$5)*REFERENCE_PARAMS!$B$2*REFERENCE_PARAMS!$B$4</x:f>
        <x:v>90190.608</x:v>
      </x:c>
      <x:c r="O15" s="40" t="n">
        <x:f>MAX(F15,REFERENCE_PARAMS!$B$5)*REFERENCE_PARAMS!$B$3*REFERENCE_PARAMS!$B$4</x:f>
        <x:v>139830.4</x:v>
      </x:c>
      <x:c r="P15" s="39" t="n">
        <x:v>40</x:v>
      </x:c>
      <x:c r="Q15" s="39" t="n">
        <x:f>P15*REFERENCE_PARAMS!$B$12</x:f>
        <x:v>80</x:v>
      </x:c>
      <x:c r="R15" s="41" t="n">
        <x:v>0.7</x:v>
      </x:c>
      <x:c r="S15" s="13" t="str">
        <x:v>후보 OD</x:v>
      </x:c>
      <x:c r="T15" s="13" t="str">
        <x:v>https://www.data.go.kr/data/15137040/fileData.do</x:v>
      </x:c>
      <x:c r="U15" s="13" t="str">
        <x:v>https://www.data.go.kr/data/15042241/fileData.do?recommendDataYn=Y</x:v>
      </x:c>
      <x:c r="V15" s="13" t="str">
        <x:v>https://info.korail.com/info/contents.do?key=873</x:v>
      </x:c>
      <x:c r="W15" s="13" t="str">
        <x:v>중간 거점 환적을 강제하지 않는 corridor-based direct OD</x:v>
      </x:c>
    </x:row>
    <x:row r="16">
      <x:c r="A16" s="13" t="str">
        <x:v>서남권축</x:v>
      </x:c>
      <x:c r="B16" s="13" t="str">
        <x:v>오봉</x:v>
      </x:c>
      <x:c r="C16" s="13" t="str">
        <x:v>신광양항</x:v>
      </x:c>
      <x:c r="D16" s="13" t="str">
        <x:v>허용</x:v>
      </x:c>
      <x:c r="E16" s="13" t="n">
        <x:v>1</x:v>
      </x:c>
      <x:c r="F16" s="38" t="n">
        <x:v>384.8</x:v>
      </x:c>
      <x:c r="G16" s="13" t="str">
        <x:v>재구성값</x:v>
      </x:c>
      <x:c r="H16" s="13" t="str">
        <x:v>남부화물기지선-경부선-호남선-전라선-광양권 연결선</x:v>
      </x:c>
      <x:c r="I16" s="13" t="str">
        <x:v>2025 화물열차 시간표로 방향별 기존 직통서비스 검증 필요</x:v>
      </x:c>
      <x:c r="J16" s="28" t="n">
        <x:f>F16/REFERENCE_PARAMS!$B$10</x:f>
        <x:v>5.627409064545529</x:v>
      </x:c>
      <x:c r="K16" s="39" t="n">
        <x:f>CEILING(J16,1)</x:f>
        <x:v>6</x:v>
      </x:c>
      <x:c r="L16" s="39" t="n">
        <x:f>CEILING(J16+REFERENCE_PARAMS!$B$6,1)</x:f>
        <x:v>9</x:v>
      </x:c>
      <x:c r="M16" s="39" t="n">
        <x:f>CEILING(J16+REFERENCE_PARAMS!$B$6+REFERENCE_PARAMS!$B$7,1)</x:f>
        <x:v>12</x:v>
      </x:c>
      <x:c r="N16" s="40" t="n">
        <x:f>MAX(F16,REFERENCE_PARAMS!$B$5)*REFERENCE_PARAMS!$B$2*REFERENCE_PARAMS!$B$4</x:f>
        <x:v>146932.032</x:v>
      </x:c>
      <x:c r="O16" s="40" t="n">
        <x:f>MAX(F16,REFERENCE_PARAMS!$B$5)*REFERENCE_PARAMS!$B$3*REFERENCE_PARAMS!$B$4</x:f>
        <x:v>227801.6</x:v>
      </x:c>
      <x:c r="P16" s="39" t="n">
        <x:v>40</x:v>
      </x:c>
      <x:c r="Q16" s="39" t="n">
        <x:f>P16*REFERENCE_PARAMS!$B$12</x:f>
        <x:v>80</x:v>
      </x:c>
      <x:c r="R16" s="41" t="n">
        <x:v>0.7</x:v>
      </x:c>
      <x:c r="S16" s="13" t="str">
        <x:v>후보 OD</x:v>
      </x:c>
      <x:c r="T16" s="13" t="str">
        <x:v>https://www.data.go.kr/data/15137040/fileData.do</x:v>
      </x:c>
      <x:c r="U16" s="13" t="str">
        <x:v>https://www.data.go.kr/data/15042241/fileData.do?recommendDataYn=Y</x:v>
      </x:c>
      <x:c r="V16" s="13" t="str">
        <x:v>https://info.korail.com/info/contents.do?key=873</x:v>
      </x:c>
      <x:c r="W16" s="13" t="str">
        <x:v>중간 거점 환적을 강제하지 않는 corridor-based direct OD</x:v>
      </x:c>
    </x:row>
    <x:row r="17">
      <x:c r="A17" s="13" t="str">
        <x:v>서남권축</x:v>
      </x:c>
      <x:c r="B17" s="13" t="str">
        <x:v>신광양항</x:v>
      </x:c>
      <x:c r="C17" s="13" t="str">
        <x:v>오봉</x:v>
      </x:c>
      <x:c r="D17" s="13" t="str">
        <x:v>허용</x:v>
      </x:c>
      <x:c r="E17" s="13" t="n">
        <x:v>1</x:v>
      </x:c>
      <x:c r="F17" s="38" t="n">
        <x:v>384.8</x:v>
      </x:c>
      <x:c r="G17" s="13" t="str">
        <x:v>재구성값</x:v>
      </x:c>
      <x:c r="H17" s="13" t="str">
        <x:v>남부화물기지선-경부선-호남선-전라선-광양권 연결선</x:v>
      </x:c>
      <x:c r="I17" s="13" t="str">
        <x:v>2025 화물열차 시간표로 방향별 기존 직통서비스 검증 필요</x:v>
      </x:c>
      <x:c r="J17" s="28" t="n">
        <x:f>F17/REFERENCE_PARAMS!$B$10</x:f>
        <x:v>5.627409064545529</x:v>
      </x:c>
      <x:c r="K17" s="39" t="n">
        <x:f>CEILING(J17,1)</x:f>
        <x:v>6</x:v>
      </x:c>
      <x:c r="L17" s="39" t="n">
        <x:f>CEILING(J17+REFERENCE_PARAMS!$B$6,1)</x:f>
        <x:v>9</x:v>
      </x:c>
      <x:c r="M17" s="39" t="n">
        <x:f>CEILING(J17+REFERENCE_PARAMS!$B$6+REFERENCE_PARAMS!$B$7,1)</x:f>
        <x:v>12</x:v>
      </x:c>
      <x:c r="N17" s="40" t="n">
        <x:f>MAX(F17,REFERENCE_PARAMS!$B$5)*REFERENCE_PARAMS!$B$2*REFERENCE_PARAMS!$B$4</x:f>
        <x:v>146932.032</x:v>
      </x:c>
      <x:c r="O17" s="40" t="n">
        <x:f>MAX(F17,REFERENCE_PARAMS!$B$5)*REFERENCE_PARAMS!$B$3*REFERENCE_PARAMS!$B$4</x:f>
        <x:v>227801.6</x:v>
      </x:c>
      <x:c r="P17" s="39" t="n">
        <x:v>40</x:v>
      </x:c>
      <x:c r="Q17" s="39" t="n">
        <x:f>P17*REFERENCE_PARAMS!$B$12</x:f>
        <x:v>80</x:v>
      </x:c>
      <x:c r="R17" s="41" t="n">
        <x:v>0.7</x:v>
      </x:c>
      <x:c r="S17" s="13" t="str">
        <x:v>후보 OD</x:v>
      </x:c>
      <x:c r="T17" s="13" t="str">
        <x:v>https://www.data.go.kr/data/15137040/fileData.do</x:v>
      </x:c>
      <x:c r="U17" s="13" t="str">
        <x:v>https://www.data.go.kr/data/15042241/fileData.do?recommendDataYn=Y</x:v>
      </x:c>
      <x:c r="V17" s="13" t="str">
        <x:v>https://info.korail.com/info/contents.do?key=873</x:v>
      </x:c>
      <x:c r="W17" s="13" t="str">
        <x:v>중간 거점 환적을 강제하지 않는 corridor-based direct OD</x:v>
      </x:c>
    </x:row>
    <x:row r="18">
      <x:c r="A18" s="13" t="str">
        <x:v>서남권축</x:v>
      </x:c>
      <x:c r="B18" s="13" t="str">
        <x:v>부강화물</x:v>
      </x:c>
      <x:c r="C18" s="13" t="str">
        <x:v>동산</x:v>
      </x:c>
      <x:c r="D18" s="13" t="str">
        <x:v>허용</x:v>
      </x:c>
      <x:c r="E18" s="13" t="n">
        <x:v>1</x:v>
      </x:c>
      <x:c r="F18" s="38" t="n">
        <x:v>130.2</x:v>
      </x:c>
      <x:c r="G18" s="13" t="str">
        <x:v>재구성값</x:v>
      </x:c>
      <x:c r="H18" s="13" t="str">
        <x:v>부강화물선-경부선-호남선-전라선</x:v>
      </x:c>
      <x:c r="I18" s="13" t="str">
        <x:v>2025 화물열차 시간표로 방향별 기존 직통서비스 검증 필요</x:v>
      </x:c>
      <x:c r="J18" s="28" t="n">
        <x:f>F18/REFERENCE_PARAMS!$B$10</x:f>
        <x:v>1.9040765597812574</x:v>
      </x:c>
      <x:c r="K18" s="39" t="n">
        <x:f>CEILING(J18,1)</x:f>
        <x:v>2</x:v>
      </x:c>
      <x:c r="L18" s="39" t="n">
        <x:f>CEILING(J18+REFERENCE_PARAMS!$B$6,1)</x:f>
        <x:v>5</x:v>
      </x:c>
      <x:c r="M18" s="39" t="n">
        <x:f>CEILING(J18+REFERENCE_PARAMS!$B$6+REFERENCE_PARAMS!$B$7,1)</x:f>
        <x:v>8</x:v>
      </x:c>
      <x:c r="N18" s="40" t="n">
        <x:f>MAX(F18,REFERENCE_PARAMS!$B$5)*REFERENCE_PARAMS!$B$2*REFERENCE_PARAMS!$B$4</x:f>
        <x:v>49715.568</x:v>
      </x:c>
      <x:c r="O18" s="40" t="n">
        <x:f>MAX(F18,REFERENCE_PARAMS!$B$5)*REFERENCE_PARAMS!$B$3*REFERENCE_PARAMS!$B$4</x:f>
        <x:v>77078.4</x:v>
      </x:c>
      <x:c r="P18" s="39" t="n">
        <x:v>40</x:v>
      </x:c>
      <x:c r="Q18" s="39" t="n">
        <x:f>P18*REFERENCE_PARAMS!$B$12</x:f>
        <x:v>80</x:v>
      </x:c>
      <x:c r="R18" s="41" t="n">
        <x:v>0.7</x:v>
      </x:c>
      <x:c r="S18" s="13" t="str">
        <x:v>후보 OD</x:v>
      </x:c>
      <x:c r="T18" s="13" t="str">
        <x:v>https://www.data.go.kr/data/15137040/fileData.do</x:v>
      </x:c>
      <x:c r="U18" s="13" t="str">
        <x:v>https://www.data.go.kr/data/15042241/fileData.do?recommendDataYn=Y</x:v>
      </x:c>
      <x:c r="V18" s="13" t="str">
        <x:v>https://info.korail.com/info/contents.do?key=873</x:v>
      </x:c>
      <x:c r="W18" s="13" t="str">
        <x:v>중간 거점 환적을 강제하지 않는 corridor-based direct OD</x:v>
      </x:c>
    </x:row>
    <x:row r="19">
      <x:c r="A19" s="13" t="str">
        <x:v>서남권축</x:v>
      </x:c>
      <x:c r="B19" s="13" t="str">
        <x:v>동산</x:v>
      </x:c>
      <x:c r="C19" s="13" t="str">
        <x:v>부강화물</x:v>
      </x:c>
      <x:c r="D19" s="13" t="str">
        <x:v>허용</x:v>
      </x:c>
      <x:c r="E19" s="13" t="n">
        <x:v>1</x:v>
      </x:c>
      <x:c r="F19" s="38" t="n">
        <x:v>130.2</x:v>
      </x:c>
      <x:c r="G19" s="13" t="str">
        <x:v>재구성값</x:v>
      </x:c>
      <x:c r="H19" s="13" t="str">
        <x:v>부강화물선-경부선-호남선-전라선</x:v>
      </x:c>
      <x:c r="I19" s="13" t="str">
        <x:v>2025 화물열차 시간표로 방향별 기존 직통서비스 검증 필요</x:v>
      </x:c>
      <x:c r="J19" s="28" t="n">
        <x:f>F19/REFERENCE_PARAMS!$B$10</x:f>
        <x:v>1.9040765597812574</x:v>
      </x:c>
      <x:c r="K19" s="39" t="n">
        <x:f>CEILING(J19,1)</x:f>
        <x:v>2</x:v>
      </x:c>
      <x:c r="L19" s="39" t="n">
        <x:f>CEILING(J19+REFERENCE_PARAMS!$B$6,1)</x:f>
        <x:v>5</x:v>
      </x:c>
      <x:c r="M19" s="39" t="n">
        <x:f>CEILING(J19+REFERENCE_PARAMS!$B$6+REFERENCE_PARAMS!$B$7,1)</x:f>
        <x:v>8</x:v>
      </x:c>
      <x:c r="N19" s="40" t="n">
        <x:f>MAX(F19,REFERENCE_PARAMS!$B$5)*REFERENCE_PARAMS!$B$2*REFERENCE_PARAMS!$B$4</x:f>
        <x:v>49715.568</x:v>
      </x:c>
      <x:c r="O19" s="40" t="n">
        <x:f>MAX(F19,REFERENCE_PARAMS!$B$5)*REFERENCE_PARAMS!$B$3*REFERENCE_PARAMS!$B$4</x:f>
        <x:v>77078.4</x:v>
      </x:c>
      <x:c r="P19" s="39" t="n">
        <x:v>40</x:v>
      </x:c>
      <x:c r="Q19" s="39" t="n">
        <x:f>P19*REFERENCE_PARAMS!$B$12</x:f>
        <x:v>80</x:v>
      </x:c>
      <x:c r="R19" s="41" t="n">
        <x:v>0.7</x:v>
      </x:c>
      <x:c r="S19" s="13" t="str">
        <x:v>후보 OD</x:v>
      </x:c>
      <x:c r="T19" s="13" t="str">
        <x:v>https://www.data.go.kr/data/15137040/fileData.do</x:v>
      </x:c>
      <x:c r="U19" s="13" t="str">
        <x:v>https://www.data.go.kr/data/15042241/fileData.do?recommendDataYn=Y</x:v>
      </x:c>
      <x:c r="V19" s="13" t="str">
        <x:v>https://info.korail.com/info/contents.do?key=873</x:v>
      </x:c>
      <x:c r="W19" s="13" t="str">
        <x:v>중간 거점 환적을 강제하지 않는 corridor-based direct OD</x:v>
      </x:c>
    </x:row>
    <x:row r="20">
      <x:c r="A20" s="13" t="str">
        <x:v>서남권축</x:v>
      </x:c>
      <x:c r="B20" s="13" t="str">
        <x:v>부강화물</x:v>
      </x:c>
      <x:c r="C20" s="13" t="str">
        <x:v>신광양항</x:v>
      </x:c>
      <x:c r="D20" s="13" t="str">
        <x:v>허용</x:v>
      </x:c>
      <x:c r="E20" s="13" t="n">
        <x:v>1</x:v>
      </x:c>
      <x:c r="F20" s="38" t="n">
        <x:v>278.8</x:v>
      </x:c>
      <x:c r="G20" s="13" t="str">
        <x:v>재구성값</x:v>
      </x:c>
      <x:c r="H20" s="13" t="str">
        <x:v>부강화물선-경부선-호남선-전라선-광양권 연결선</x:v>
      </x:c>
      <x:c r="I20" s="13" t="str">
        <x:v>2025 화물열차 시간표로 방향별 기존 직통서비스 검증 필요</x:v>
      </x:c>
      <x:c r="J20" s="28" t="n">
        <x:f>F20/REFERENCE_PARAMS!$B$10</x:f>
        <x:v>4.077239207887978</x:v>
      </x:c>
      <x:c r="K20" s="39" t="n">
        <x:f>CEILING(J20,1)</x:f>
        <x:v>5</x:v>
      </x:c>
      <x:c r="L20" s="39" t="n">
        <x:f>CEILING(J20+REFERENCE_PARAMS!$B$6,1)</x:f>
        <x:v>8</x:v>
      </x:c>
      <x:c r="M20" s="39" t="n">
        <x:f>CEILING(J20+REFERENCE_PARAMS!$B$6+REFERENCE_PARAMS!$B$7,1)</x:f>
        <x:v>11</x:v>
      </x:c>
      <x:c r="N20" s="40" t="n">
        <x:f>MAX(F20,REFERENCE_PARAMS!$B$5)*REFERENCE_PARAMS!$B$2*REFERENCE_PARAMS!$B$4</x:f>
        <x:v>106456.99200000001</x:v>
      </x:c>
      <x:c r="O20" s="40" t="n">
        <x:f>MAX(F20,REFERENCE_PARAMS!$B$5)*REFERENCE_PARAMS!$B$3*REFERENCE_PARAMS!$B$4</x:f>
        <x:v>165049.6</x:v>
      </x:c>
      <x:c r="P20" s="39" t="n">
        <x:v>40</x:v>
      </x:c>
      <x:c r="Q20" s="39" t="n">
        <x:f>P20*REFERENCE_PARAMS!$B$12</x:f>
        <x:v>80</x:v>
      </x:c>
      <x:c r="R20" s="41" t="n">
        <x:v>0.7</x:v>
      </x:c>
      <x:c r="S20" s="13" t="str">
        <x:v>후보 OD</x:v>
      </x:c>
      <x:c r="T20" s="13" t="str">
        <x:v>https://www.data.go.kr/data/15137040/fileData.do</x:v>
      </x:c>
      <x:c r="U20" s="13" t="str">
        <x:v>https://www.data.go.kr/data/15042241/fileData.do?recommendDataYn=Y</x:v>
      </x:c>
      <x:c r="V20" s="13" t="str">
        <x:v>https://info.korail.com/info/contents.do?key=873</x:v>
      </x:c>
      <x:c r="W20" s="13" t="str">
        <x:v>중간 거점 환적을 강제하지 않는 corridor-based direct OD</x:v>
      </x:c>
    </x:row>
    <x:row r="21">
      <x:c r="A21" s="13" t="str">
        <x:v>서남권축</x:v>
      </x:c>
      <x:c r="B21" s="13" t="str">
        <x:v>신광양항</x:v>
      </x:c>
      <x:c r="C21" s="13" t="str">
        <x:v>부강화물</x:v>
      </x:c>
      <x:c r="D21" s="13" t="str">
        <x:v>허용</x:v>
      </x:c>
      <x:c r="E21" s="13" t="n">
        <x:v>1</x:v>
      </x:c>
      <x:c r="F21" s="38" t="n">
        <x:v>278.8</x:v>
      </x:c>
      <x:c r="G21" s="13" t="str">
        <x:v>재구성값</x:v>
      </x:c>
      <x:c r="H21" s="13" t="str">
        <x:v>부강화물선-경부선-호남선-전라선-광양권 연결선</x:v>
      </x:c>
      <x:c r="I21" s="13" t="str">
        <x:v>2025 화물열차 시간표로 방향별 기존 직통서비스 검증 필요</x:v>
      </x:c>
      <x:c r="J21" s="28" t="n">
        <x:f>F21/REFERENCE_PARAMS!$B$10</x:f>
        <x:v>4.077239207887978</x:v>
      </x:c>
      <x:c r="K21" s="39" t="n">
        <x:f>CEILING(J21,1)</x:f>
        <x:v>5</x:v>
      </x:c>
      <x:c r="L21" s="39" t="n">
        <x:f>CEILING(J21+REFERENCE_PARAMS!$B$6,1)</x:f>
        <x:v>8</x:v>
      </x:c>
      <x:c r="M21" s="39" t="n">
        <x:f>CEILING(J21+REFERENCE_PARAMS!$B$6+REFERENCE_PARAMS!$B$7,1)</x:f>
        <x:v>11</x:v>
      </x:c>
      <x:c r="N21" s="40" t="n">
        <x:f>MAX(F21,REFERENCE_PARAMS!$B$5)*REFERENCE_PARAMS!$B$2*REFERENCE_PARAMS!$B$4</x:f>
        <x:v>106456.99200000001</x:v>
      </x:c>
      <x:c r="O21" s="40" t="n">
        <x:f>MAX(F21,REFERENCE_PARAMS!$B$5)*REFERENCE_PARAMS!$B$3*REFERENCE_PARAMS!$B$4</x:f>
        <x:v>165049.6</x:v>
      </x:c>
      <x:c r="P21" s="39" t="n">
        <x:v>40</x:v>
      </x:c>
      <x:c r="Q21" s="39" t="n">
        <x:f>P21*REFERENCE_PARAMS!$B$12</x:f>
        <x:v>80</x:v>
      </x:c>
      <x:c r="R21" s="41" t="n">
        <x:v>0.7</x:v>
      </x:c>
      <x:c r="S21" s="13" t="str">
        <x:v>후보 OD</x:v>
      </x:c>
      <x:c r="T21" s="13" t="str">
        <x:v>https://www.data.go.kr/data/15137040/fileData.do</x:v>
      </x:c>
      <x:c r="U21" s="13" t="str">
        <x:v>https://www.data.go.kr/data/15042241/fileData.do?recommendDataYn=Y</x:v>
      </x:c>
      <x:c r="V21" s="13" t="str">
        <x:v>https://info.korail.com/info/contents.do?key=873</x:v>
      </x:c>
      <x:c r="W21" s="13" t="str">
        <x:v>중간 거점 환적을 강제하지 않는 corridor-based direct OD</x:v>
      </x:c>
    </x:row>
    <x:row r="22">
      <x:c r="A22" s="13" t="str">
        <x:v>서남권축</x:v>
      </x:c>
      <x:c r="B22" s="13" t="str">
        <x:v>동산</x:v>
      </x:c>
      <x:c r="C22" s="13" t="str">
        <x:v>신광양항</x:v>
      </x:c>
      <x:c r="D22" s="13" t="str">
        <x:v>허용</x:v>
      </x:c>
      <x:c r="E22" s="13" t="n">
        <x:v>1</x:v>
      </x:c>
      <x:c r="F22" s="38" t="n">
        <x:v>148.6</x:v>
      </x:c>
      <x:c r="G22" s="13" t="str">
        <x:v>재구성값</x:v>
      </x:c>
      <x:c r="H22" s="13" t="str">
        <x:v>전라선-순천/광양권-신광양항 연결선</x:v>
      </x:c>
      <x:c r="I22" s="13" t="str">
        <x:v>2025 화물열차 시간표로 방향별 기존 직통서비스 검증 필요</x:v>
      </x:c>
      <x:c r="J22" s="28" t="n">
        <x:f>F22/REFERENCE_PARAMS!$B$10</x:f>
        <x:v>2.1731626481067194</x:v>
      </x:c>
      <x:c r="K22" s="39" t="n">
        <x:f>CEILING(J22,1)</x:f>
        <x:v>3</x:v>
      </x:c>
      <x:c r="L22" s="39" t="n">
        <x:f>CEILING(J22+REFERENCE_PARAMS!$B$6,1)</x:f>
        <x:v>6</x:v>
      </x:c>
      <x:c r="M22" s="39" t="n">
        <x:f>CEILING(J22+REFERENCE_PARAMS!$B$6+REFERENCE_PARAMS!$B$7,1)</x:f>
        <x:v>9</x:v>
      </x:c>
      <x:c r="N22" s="40" t="n">
        <x:f>MAX(F22,REFERENCE_PARAMS!$B$5)*REFERENCE_PARAMS!$B$2*REFERENCE_PARAMS!$B$4</x:f>
        <x:v>56741.42399999999</x:v>
      </x:c>
      <x:c r="O22" s="40" t="n">
        <x:f>MAX(F22,REFERENCE_PARAMS!$B$5)*REFERENCE_PARAMS!$B$3*REFERENCE_PARAMS!$B$4</x:f>
        <x:v>87971.2</x:v>
      </x:c>
      <x:c r="P22" s="39" t="n">
        <x:v>40</x:v>
      </x:c>
      <x:c r="Q22" s="39" t="n">
        <x:f>P22*REFERENCE_PARAMS!$B$12</x:f>
        <x:v>80</x:v>
      </x:c>
      <x:c r="R22" s="41" t="n">
        <x:v>0.7</x:v>
      </x:c>
      <x:c r="S22" s="13" t="str">
        <x:v>후보 OD</x:v>
      </x:c>
      <x:c r="T22" s="13" t="str">
        <x:v>https://www.data.go.kr/data/15137040/fileData.do</x:v>
      </x:c>
      <x:c r="U22" s="13" t="str">
        <x:v>https://www.data.go.kr/data/15042241/fileData.do?recommendDataYn=Y</x:v>
      </x:c>
      <x:c r="V22" s="13" t="str">
        <x:v>https://info.korail.com/info/contents.do?key=873</x:v>
      </x:c>
      <x:c r="W22" s="13" t="str">
        <x:v>중간 거점 환적을 강제하지 않는 corridor-based direct OD</x:v>
      </x:c>
    </x:row>
    <x:row r="23">
      <x:c r="A23" s="13" t="str">
        <x:v>서남권축</x:v>
      </x:c>
      <x:c r="B23" s="13" t="str">
        <x:v>신광양항</x:v>
      </x:c>
      <x:c r="C23" s="13" t="str">
        <x:v>동산</x:v>
      </x:c>
      <x:c r="D23" s="13" t="str">
        <x:v>허용</x:v>
      </x:c>
      <x:c r="E23" s="13" t="n">
        <x:v>1</x:v>
      </x:c>
      <x:c r="F23" s="38" t="n">
        <x:v>148.6</x:v>
      </x:c>
      <x:c r="G23" s="13" t="str">
        <x:v>재구성값</x:v>
      </x:c>
      <x:c r="H23" s="13" t="str">
        <x:v>전라선-순천/광양권-신광양항 연결선</x:v>
      </x:c>
      <x:c r="I23" s="13" t="str">
        <x:v>2025 화물열차 시간표로 방향별 기존 직통서비스 검증 필요</x:v>
      </x:c>
      <x:c r="J23" s="28" t="n">
        <x:f>F23/REFERENCE_PARAMS!$B$10</x:f>
        <x:v>2.1731626481067194</x:v>
      </x:c>
      <x:c r="K23" s="39" t="n">
        <x:f>CEILING(J23,1)</x:f>
        <x:v>3</x:v>
      </x:c>
      <x:c r="L23" s="39" t="n">
        <x:f>CEILING(J23+REFERENCE_PARAMS!$B$6,1)</x:f>
        <x:v>6</x:v>
      </x:c>
      <x:c r="M23" s="39" t="n">
        <x:f>CEILING(J23+REFERENCE_PARAMS!$B$6+REFERENCE_PARAMS!$B$7,1)</x:f>
        <x:v>9</x:v>
      </x:c>
      <x:c r="N23" s="40" t="n">
        <x:f>MAX(F23,REFERENCE_PARAMS!$B$5)*REFERENCE_PARAMS!$B$2*REFERENCE_PARAMS!$B$4</x:f>
        <x:v>56741.42399999999</x:v>
      </x:c>
      <x:c r="O23" s="40" t="n">
        <x:f>MAX(F23,REFERENCE_PARAMS!$B$5)*REFERENCE_PARAMS!$B$3*REFERENCE_PARAMS!$B$4</x:f>
        <x:v>87971.2</x:v>
      </x:c>
      <x:c r="P23" s="39" t="n">
        <x:v>40</x:v>
      </x:c>
      <x:c r="Q23" s="39" t="n">
        <x:f>P23*REFERENCE_PARAMS!$B$12</x:f>
        <x:v>80</x:v>
      </x:c>
      <x:c r="R23" s="41" t="n">
        <x:v>0.7</x:v>
      </x:c>
      <x:c r="S23" s="13" t="str">
        <x:v>후보 OD</x:v>
      </x:c>
      <x:c r="T23" s="13" t="str">
        <x:v>https://www.data.go.kr/data/15137040/fileData.do</x:v>
      </x:c>
      <x:c r="U23" s="13" t="str">
        <x:v>https://www.data.go.kr/data/15042241/fileData.do?recommendDataYn=Y</x:v>
      </x:c>
      <x:c r="V23" s="13" t="str">
        <x:v>https://info.korail.com/info/contents.do?key=873</x:v>
      </x:c>
      <x:c r="W23" s="13" t="str">
        <x:v>중간 거점 환적을 강제하지 않는 corridor-based direct OD</x:v>
      </x:c>
    </x:row>
  </x:sheetData>
  <x:conditionalFormatting sqref="A2:A23">
    <x:cfRule type="expression" dxfId="0" priority="1">
      <x:formula>A2="경부축"</x:formula>
    </x:cfRule>
    <x:cfRule type="expression" dxfId="1" priority="2">
      <x:formula>A2="서남권축"</x:formula>
    </x:cfRule>
  </x:conditionalFormatting>
  <x:conditionalFormatting sqref="G2:G23">
    <x:cfRule type="expression" dxfId="2" priority="3">
      <x:formula>G2="코레일 직접 공표"</x:formula>
    </x:cfRule>
    <x:cfRule type="expression" dxfId="3" priority="4">
      <x:formula>G2="재구성값"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c2cb8a216e41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50" hidden="0" customWidth="1"/>
    <x:col min="4" max="4" width="16" hidden="0" customWidth="1"/>
    <x:col min="5" max="5" width="60" hidden="0" customWidth="1"/>
    <x:col min="6" max="6" width="45" hidden="0" customWidth="1"/>
  </x:cols>
  <x:sheetData>
    <x:row r="1" ht="28" customHeight="1">
      <x:c r="A1" s="12" t="str">
        <x:v>OD</x:v>
      </x:c>
      <x:c r="B1" s="12" t="str">
        <x:v>Distance_km</x:v>
      </x:c>
      <x:c r="C1" s="12" t="str">
        <x:v>Calculation basis</x:v>
      </x:c>
      <x:c r="D1" s="12" t="str">
        <x:v>Status</x:v>
      </x:c>
      <x:c r="E1" s="12" t="str">
        <x:v>Primary source</x:v>
      </x:c>
      <x:c r="F1" s="12" t="str">
        <x:v>Publication note</x:v>
      </x:c>
    </x:row>
    <x:row r="2">
      <x:c r="A2" s="13" t="str">
        <x:v>오봉-부강화물</x:v>
      </x:c>
      <x:c r="B2" s="13" t="n">
        <x:v>111.8</x:v>
      </x:c>
      <x:c r="C2" s="13" t="str">
        <x:v>오봉 지선 + 경부선 + 부강화물 지선</x:v>
      </x:c>
      <x:c r="D2" s="13" t="str">
        <x:v>1차 재구성</x:v>
      </x:c>
      <x:c r="E2" s="13" t="str">
        <x:v>https://www.data.go.kr/data/15137040/fileData.do</x:v>
      </x:c>
      <x:c r="F2" s="13" t="str">
        <x:v>원문 XLSX 검증 필요</x:v>
      </x:c>
    </x:row>
    <x:row r="3">
      <x:c r="A3" s="13" t="str">
        <x:v>오봉-약목</x:v>
      </x:c>
      <x:c r="B3" s="13" t="n">
        <x:v>258.6</x:v>
      </x:c>
      <x:c r="C3" s="13" t="str">
        <x:v>오봉 지선 + 경부선</x:v>
      </x:c>
      <x:c r="D3" s="13" t="str">
        <x:v>1차 재구성</x:v>
      </x:c>
      <x:c r="E3" s="13" t="str">
        <x:v>https://www.data.go.kr/data/15137040/fileData.do</x:v>
      </x:c>
      <x:c r="F3" s="13" t="str">
        <x:v>원문 XLSX 검증 필요</x:v>
      </x:c>
    </x:row>
    <x:row r="4">
      <x:c r="A4" s="13" t="str">
        <x:v>오봉-부산신항</x:v>
      </x:c>
      <x:c r="B4" s="13" t="n">
        <x:v>402.3</x:v>
      </x:c>
      <x:c r="C4" s="13" t="str">
        <x:v>코레일 50량 장대열차 보도자료 직접 제시</x:v>
      </x:c>
      <x:c r="D4" s="13" t="str">
        <x:v>공식 직접값</x:v>
      </x:c>
      <x:c r="E4" s="13" t="str">
        <x:v>https://info.korail.com/info/selectBbsNttView.do?bbsNo=199&amp;key=911&amp;nttNo=16264</x:v>
      </x:c>
      <x:c r="F4" s="13" t="str">
        <x:v>그대로 사용 가능</x:v>
      </x:c>
    </x:row>
    <x:row r="5">
      <x:c r="A5" s="13" t="str">
        <x:v>부강화물-약목</x:v>
      </x:c>
      <x:c r="B5" s="13" t="n">
        <x:v>152.6</x:v>
      </x:c>
      <x:c r="C5" s="13" t="str">
        <x:v>부강화물 지선 + 경부선</x:v>
      </x:c>
      <x:c r="D5" s="13" t="str">
        <x:v>1차 재구성</x:v>
      </x:c>
      <x:c r="E5" s="13" t="str">
        <x:v>https://www.data.go.kr/data/15137040/fileData.do</x:v>
      </x:c>
      <x:c r="F5" s="13" t="str">
        <x:v>원문 XLSX 검증 필요</x:v>
      </x:c>
    </x:row>
    <x:row r="6">
      <x:c r="A6" s="13" t="str">
        <x:v>부강화물-부산신항</x:v>
      </x:c>
      <x:c r="B6" s="13" t="n">
        <x:v>296.3</x:v>
      </x:c>
      <x:c r="C6" s="13" t="str">
        <x:v>부강화물 지선 + 경부축 + 부산신항 연결</x:v>
      </x:c>
      <x:c r="D6" s="13" t="str">
        <x:v>1차 재구성</x:v>
      </x:c>
      <x:c r="E6" s="13" t="str">
        <x:v>https://www.data.go.kr/data/15137040/fileData.do</x:v>
      </x:c>
      <x:c r="F6" s="13" t="str">
        <x:v>오봉-부산신항 직접값과 경부축 km로 교차검산</x:v>
      </x:c>
    </x:row>
    <x:row r="7">
      <x:c r="A7" s="13" t="str">
        <x:v>약목-부산신항</x:v>
      </x:c>
      <x:c r="B7" s="13" t="n">
        <x:v>143.7</x:v>
      </x:c>
      <x:c r="C7" s="13" t="str">
        <x:v>경부축 + 부산신항 연결</x:v>
      </x:c>
      <x:c r="D7" s="13" t="str">
        <x:v>1차 재구성</x:v>
      </x:c>
      <x:c r="E7" s="13" t="str">
        <x:v>https://www.data.go.kr/data/15137040/fileData.do</x:v>
      </x:c>
      <x:c r="F7" s="13" t="str">
        <x:v>오봉-부산신항 직접값과 교차검산</x:v>
      </x:c>
    </x:row>
    <x:row r="8">
      <x:c r="A8" s="13" t="str">
        <x:v>오봉-동산</x:v>
      </x:c>
      <x:c r="B8" s="13" t="n">
        <x:v>236.2</x:v>
      </x:c>
      <x:c r="C8" s="13" t="str">
        <x:v>오봉 지선 + 경부선 + 호남선 + 전라선</x:v>
      </x:c>
      <x:c r="D8" s="13" t="str">
        <x:v>1차 재구성</x:v>
      </x:c>
      <x:c r="E8" s="13" t="str">
        <x:v>https://www.data.go.kr/data/15137040/fileData.do</x:v>
      </x:c>
      <x:c r="F8" s="13" t="str">
        <x:v>원문 XLSX 검증 필요</x:v>
      </x:c>
    </x:row>
    <x:row r="9">
      <x:c r="A9" s="13" t="str">
        <x:v>오봉-신광양항</x:v>
      </x:c>
      <x:c r="B9" s="13" t="n">
        <x:v>384.8</x:v>
      </x:c>
      <x:c r="C9" s="13" t="str">
        <x:v>오봉-동산 + 동산-신광양항</x:v>
      </x:c>
      <x:c r="D9" s="13" t="str">
        <x:v>1차 재구성</x:v>
      </x:c>
      <x:c r="E9" s="13" t="str">
        <x:v>https://www.data.go.kr/data/15137040/fileData.do</x:v>
      </x:c>
      <x:c r="F9" s="13" t="str">
        <x:v>원문 XLSX 검증 필요</x:v>
      </x:c>
    </x:row>
    <x:row r="10">
      <x:c r="A10" s="13" t="str">
        <x:v>부강화물-동산</x:v>
      </x:c>
      <x:c r="B10" s="13" t="n">
        <x:v>130.2</x:v>
      </x:c>
      <x:c r="C10" s="13" t="str">
        <x:v>부강화물 지선 + 경부선 + 호남선 + 전라선</x:v>
      </x:c>
      <x:c r="D10" s="13" t="str">
        <x:v>1차 재구성</x:v>
      </x:c>
      <x:c r="E10" s="13" t="str">
        <x:v>https://www.data.go.kr/data/15137040/fileData.do</x:v>
      </x:c>
      <x:c r="F10" s="13" t="str">
        <x:v>원문 XLSX 검증 필요</x:v>
      </x:c>
    </x:row>
    <x:row r="11">
      <x:c r="A11" s="13" t="str">
        <x:v>부강화물-신광양항</x:v>
      </x:c>
      <x:c r="B11" s="13" t="n">
        <x:v>278.8</x:v>
      </x:c>
      <x:c r="C11" s="13" t="str">
        <x:v>부강화물-동산 + 동산-신광양항</x:v>
      </x:c>
      <x:c r="D11" s="13" t="str">
        <x:v>1차 재구성</x:v>
      </x:c>
      <x:c r="E11" s="13" t="str">
        <x:v>https://www.data.go.kr/data/15137040/fileData.do</x:v>
      </x:c>
      <x:c r="F11" s="13" t="str">
        <x:v>원문 XLSX 검증 필요</x:v>
      </x:c>
    </x:row>
    <x:row r="12">
      <x:c r="A12" s="13" t="str">
        <x:v>동산-신광양항</x:v>
      </x:c>
      <x:c r="B12" s="13" t="n">
        <x:v>148.6</x:v>
      </x:c>
      <x:c r="C12" s="13" t="str">
        <x:v>전라선 + 순천/광양권 + 신광양항 연결선</x:v>
      </x:c>
      <x:c r="D12" s="13" t="str">
        <x:v>1차 재구성</x:v>
      </x:c>
      <x:c r="E12" s="13" t="str">
        <x:v>https://www.data.go.kr/data/15137040/fileData.do</x:v>
      </x:c>
      <x:c r="F12" s="13" t="str">
        <x:v>원문 XLSX 검증 필요</x:v>
      </x:c>
    </x:row>
  </x:sheetData>
  <x:conditionalFormatting sqref="D2:D12">
    <x:cfRule type="expression" dxfId="4" priority="1">
      <x:formula>D2="공식 직접값"</x:formula>
    </x:cfRule>
    <x:cfRule type="expression" dxfId="5" priority="2">
      <x:formula>D2="1차 재구성"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28" hidden="0" customWidth="1"/>
    <x:col min="4" max="4" width="45" hidden="0" customWidth="1"/>
    <x:col min="5" max="5" width="55" hidden="0" customWidth="1"/>
    <x:col min="6" max="6" width="50" hidden="0" customWidth="1"/>
    <x:col min="7" max="7" width="60" hidden="0" customWidth="1"/>
  </x:cols>
  <x:sheetData>
    <x:row r="1" ht="28" customHeight="1">
      <x:c r="A1" s="12" t="str">
        <x:v>Study</x:v>
      </x:c>
      <x:c r="B1" s="12" t="str">
        <x:v>Context</x:v>
      </x:c>
      <x:c r="C1" s="12" t="str">
        <x:v>Method</x:v>
      </x:c>
      <x:c r="D1" s="12" t="str">
        <x:v>What it models</x:v>
      </x:c>
      <x:c r="E1" s="12" t="str">
        <x:v>Key usable point for AXIS</x:v>
      </x:c>
      <x:c r="F1" s="12" t="str">
        <x:v>Do not copy blindly</x:v>
      </x:c>
      <x:c r="G1" s="12" t="str">
        <x:v>Source</x:v>
      </x:c>
    </x:row>
    <x:row r="2">
      <x:c r="A2" s="13" t="str">
        <x:v>Song, Liu &amp; Rong (2022), Sustainability</x:v>
      </x:c>
      <x:c r="B2" s="13" t="str">
        <x:v>철도 컨테이너 열차 운행계획 + 공컨 dispatch</x:v>
      </x:c>
      <x:c r="C2" s="13" t="str">
        <x:v>MILP + candidate shortest paths</x:v>
      </x:c>
      <x:c r="D2" s="13" t="str">
        <x:v>열차노선 개설, 공/영컨테이너 흐름, 정차·환적, 최소 평균 적재율</x:v>
      </x:c>
      <x:c r="E2" s="13" t="str">
        <x:v>축 내부 OD를 후보로 두고 실제 운행 여부를 의사결정화; 50/60/70% 최소평균적재율 민감도</x:v>
      </x:c>
      <x:c r="F2" s="13" t="str">
        <x:v>70%를 한국 철도에 그대로 고정하지 말고 민감도값으로만 사용</x:v>
      </x:c>
      <x:c r="G2" s="13" t="str">
        <x:v>https://www.mdpi.com/2071-1050/14/8/4697</x:v>
      </x:c>
    </x:row>
    <x:row r="3">
      <x:c r="A3" s="13" t="str">
        <x:v>Chi et al. (2024), Measurement and Control</x:v>
      </x:c>
      <x:c r="B3" s="13" t="str">
        <x:v>중국 동북부 multi-period ECR, rail/road/sea</x:v>
      </x:c>
      <x:c r="C3" s="13" t="str">
        <x:v>Multi-period linear/integer programming</x:v>
      </x:c>
      <x:c r="D3" s="13" t="str">
        <x:v>노드 재고, 반납, 수요, 임차, 운송수단, rail capacity</x:v>
      </x:c>
      <x:c r="E3" s="13" t="str">
        <x:v>현재 AXIS의 시간별 수요·공급·재고 구조와 가장 직접적으로 대응</x:v>
      </x:c>
      <x:c r="F3" s="13" t="str">
        <x:v>논문은 고정된 열차 수/용량 가정이므로 AXIS 신규 편성결정에는 확장 필요</x:v>
      </x:c>
      <x:c r="G3" s="13" t="str">
        <x:v>https://journals.sagepub.com/doi/full/10.1177/00202940231198133</x:v>
      </x:c>
    </x:row>
    <x:row r="4">
      <x:c r="A4" s="13" t="str">
        <x:v>Tang et al. (2021), European Transport Research Review</x:v>
      </x:c>
      <x:c r="B4" s="13" t="str">
        <x:v>China Railway Express 공컨 재배치·임차·공유</x:v>
      </x:c>
      <x:c r="C4" s="13" t="str">
        <x:v>Multi-period optimization</x:v>
      </x:c>
      <x:c r="D4" s="13" t="str">
        <x:v>기간별 재고, 재배치, 임차, 공유</x:v>
      </x:c>
      <x:c r="E4" s="13" t="str">
        <x:v>운송단가와 임차비 변화에 대한 민감도분석 구조 참고</x:v>
      </x:c>
      <x:c r="F4" s="13" t="str">
        <x:v>중국-유럽 장거리 열차의 용량·단가를 한국 국내망에 직접 전용 금지</x:v>
      </x:c>
      <x:c r="G4" s="13" t="str">
        <x:v>https://link.springer.com/article/10.1186/s12544-021-00498-y</x:v>
      </x:c>
    </x:row>
    <x:row r="5">
      <x:c r="A5" s="13" t="str">
        <x:v>Park &amp; Kim (2016), 한국철도학회논문집</x:v>
      </x:c>
      <x:c r="B5" s="13" t="str">
        <x:v>한국 전체 철도망 공화차 배분</x:v>
      </x:c>
      <x:c r="C5" s="13" t="str">
        <x:v>Transportation problem + column generation</x:v>
      </x:c>
      <x:c r="D5" s="13" t="str">
        <x:v>잉여 공화차를 수요역에 배분, 네트워크 arc 생성</x:v>
      </x:c>
      <x:c r="E5" s="13" t="str">
        <x:v>한국 철도망에서 네트워크 기반 empty-resource balancing의 직접 선행근거</x:v>
      </x:c>
      <x:c r="F5" s="13" t="str">
        <x:v>공화차와 공컨의 운영단위 차이를 구분</x:v>
      </x:c>
      <x:c r="G5" s="13" t="str">
        <x:v>https://www.kci.go.kr/kciportal/ci/sereArticleSearch/ciSereArtiView.kci?sereArticleSearchBean.artiId=ART002186581</x:v>
      </x:c>
    </x:row>
    <x:row r="6">
      <x:c r="A6" s="13" t="str">
        <x:v>Park (2012), 한국철도학회논문집</x:v>
      </x:c>
      <x:c r="B6" s="13" t="str">
        <x:v>철도화물 line planning</x:v>
      </x:c>
      <x:c r="C6" s="13" t="str">
        <x:v>Column generation</x:v>
      </x:c>
      <x:c r="D6" s="13" t="str">
        <x:v>열차 운행경로·빈도·도중 입환역</x:v>
      </x:c>
      <x:c r="E6" s="13" t="str">
        <x:v>중간역 연결/해방이 시간·비용을 유발한다는 근거 → AXIS에서 중간거점 환적 강제 금지</x:v>
      </x:c>
      <x:c r="F6" s="13" t="str">
        <x:v>모든 corridor 거점을 반드시 정차하도록 만들지 않기</x:v>
      </x:c>
      <x:c r="G6" s="13" t="str">
        <x:v>https://www.kci.go.kr/kciportal/ci/sereArticleSearch/ciSereArtiView.kci?sereArticleSearchBean.artiId=ART001657681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60" hidden="0" customWidth="1"/>
    <x:col min="4" max="4" width="16" hidden="0" customWidth="1"/>
  </x:cols>
  <x:sheetData>
    <x:row r="1" ht="28" customHeight="1">
      <x:c r="A1" s="12" t="str">
        <x:v>Item</x:v>
      </x:c>
      <x:c r="B1" s="12" t="str">
        <x:v>Recommended formulation</x:v>
      </x:c>
      <x:c r="C1" s="12" t="str">
        <x:v>Why</x:v>
      </x:c>
      <x:c r="D1" s="12" t="str">
        <x:v>Status</x:v>
      </x:c>
    </x:row>
    <x:row r="2">
      <x:c r="A2" s="13" t="str">
        <x:v>OD set</x:v>
      </x:c>
      <x:c r="B2" s="13" t="str">
        <x:v>22 directional OD only</x:v>
      </x:c>
      <x:c r="C2" s="13" t="str">
        <x:v>두 corridor 내부 직접 OD만 허용; 약목↔동산 등 축간 횡단은 제외</x:v>
      </x:c>
      <x:c r="D2" s="13" t="str">
        <x:v>확정</x:v>
      </x:c>
    </x:row>
    <x:row r="3">
      <x:c r="A3" s="13" t="str">
        <x:v>Distance</x:v>
      </x:c>
      <x:c r="B3" s="13" t="str">
        <x:v>OD_PARAMETER!rail_distance_km</x:v>
      </x:c>
      <x:c r="C3" s="13" t="str">
        <x:v>철도망 거리 기반</x:v>
      </x:c>
      <x:c r="D3" s="13" t="str">
        <x:v>1차값</x:v>
      </x:c>
    </x:row>
    <x:row r="4">
      <x:c r="A4" s="13" t="str">
        <x:v>Travel time</x:v>
      </x:c>
      <x:c r="B4" s="13" t="str">
        <x:v>ceil(distance / 68.38 km/h)</x:v>
      </x:c>
      <x:c r="C4" s="13" t="str">
        <x:v>오봉→부산신항 실증운행을 proxy로 calibration</x:v>
      </x:c>
      <x:c r="D4" s="13" t="str">
        <x:v>proxy</x:v>
      </x:c>
    </x:row>
    <x:row r="5">
      <x:c r="A5" s="13" t="str">
        <x:v>Terminal buffer</x:v>
      </x:c>
      <x:c r="B5" s="13" t="str">
        <x:v>0h / +3h / +6h sensitivity</x:v>
      </x:c>
      <x:c r="C5" s="13" t="str">
        <x:v>공식 컨테이너 적재·하화 각 3h 기준</x:v>
      </x:c>
      <x:c r="D5" s="13" t="str">
        <x:v>민감도</x:v>
      </x:c>
    </x:row>
    <x:row r="6">
      <x:c r="A6" s="13" t="str">
        <x:v>Capacity</x:v>
      </x:c>
      <x:c r="B6" s="13" t="str">
        <x:v>2 TEU/wagon; 40 wagons=80 TEU base</x:v>
      </x:c>
      <x:c r="C6" s="13" t="str">
        <x:v>코레일 33량=66TEU, 50량=100TEU; 2024 40량 증결</x:v>
      </x:c>
      <x:c r="D6" s="13" t="str">
        <x:v>기본 시나리오</x:v>
      </x:c>
    </x:row>
    <x:row r="7">
      <x:c r="A7" s="13" t="str">
        <x:v>Minimum consist</x:v>
      </x:c>
      <x:c r="B7" s="13" t="str">
        <x:v>64 wagons를 hard minimum으로 사용하지 않음</x:v>
      </x:c>
      <x:c r="C7" s="13" t="str">
        <x:v>64량은 2022 경부축 손익분기 참고값</x:v>
      </x:c>
      <x:c r="D7" s="13" t="str">
        <x:v>확정</x:v>
      </x:c>
    </x:row>
    <x:row r="8">
      <x:c r="A8" s="13" t="str">
        <x:v>Train-opening</x:v>
      </x:c>
      <x:c r="B8" s="13" t="str">
        <x:v>binary y_ijt 권장</x:v>
      </x:c>
      <x:c r="C8" s="13" t="str">
        <x:v>후보 OD 모두를 매 시간 자동 운행시키지 않기</x:v>
      </x:c>
      <x:c r="D8" s="13" t="str">
        <x:v>권장</x:v>
      </x:c>
    </x:row>
    <x:row r="9">
      <x:c r="A9" s="13" t="str">
        <x:v>Transport charge</x:v>
      </x:c>
      <x:c r="B9" s="13" t="str">
        <x:v>Korail empty-container tariff as proxy</x:v>
      </x:c>
      <x:c r="C9" s="13" t="str">
        <x:v>20FT=381.84원/km, 40FT=592원/km; 100km minimum</x:v>
      </x:c>
      <x:c r="D9" s="13" t="str">
        <x:v>공식 운임</x:v>
      </x:c>
    </x:row>
    <x:row r="10">
      <x:c r="A10" s="13" t="str">
        <x:v>Operator cost</x:v>
      </x:c>
      <x:c r="B10" s="13" t="str">
        <x:v>별도 fixed + wagon-km 원가 파라미터 필요</x:v>
      </x:c>
      <x:c r="C10" s="13" t="str">
        <x:v>운임은 코레일 내부 원가와 다름</x:v>
      </x:c>
      <x:c r="D10" s="13" t="str">
        <x:v>추가조사</x:v>
      </x:c>
    </x:row>
    <x:row r="11">
      <x:c r="A11" s="13" t="str">
        <x:v>Existing train</x:v>
      </x:c>
      <x:c r="B11" s="13" t="str">
        <x:v>2025 timetable parsing</x:v>
      </x:c>
      <x:c r="C11" s="13" t="str">
        <x:v>열차번호·요일·실제 시각을 OD별 검증</x:v>
      </x:c>
      <x:c r="D11" s="13" t="str">
        <x:v>다음 작업</x:v>
      </x:c>
    </x:row>
  </x:sheetData>
  <x:conditionalFormatting sqref="D2:D11">
    <x:cfRule type="expression" dxfId="6" priority="1">
      <x:formula>D2="확정"</x:formula>
    </x:cfRule>
    <x:cfRule type="expression" dxfId="7" priority="2">
      <x:formula>D2="추가조사"</x:formula>
    </x:cfRule>
    <x:cfRule type="expression" dxfId="8" priority="3">
      <x:formula>D2="proxy"</x:formula>
    </x:cfRule>
  </x:conditionalFormatting>
  <x:pageMargins left="0.7" right="0.7" top="0.75" bottom="0.75" header="0.3" footer="0.3"/>
</x:worksheet>
</file>